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Unidades compartidas\UEPR\Licitaciones 2025\95.- 889-12-LR25 Analisis RRHH Región de Magallanes\00.- En Trabajo\CAC\Anexos CAC\ANEXO EENVIAR A MAURI\Anexo 7\Anexo 07_ Jefe Proyecto\"/>
    </mc:Choice>
  </mc:AlternateContent>
  <xr:revisionPtr revIDLastSave="0" documentId="13_ncr:1_{45D777C7-FC77-47AF-8FB3-C61893C9CCC9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1" i="2" l="1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10" i="2"/>
  <c r="K26" i="2"/>
  <c r="K27" i="2"/>
  <c r="K28" i="2"/>
  <c r="K29" i="2"/>
  <c r="K30" i="2"/>
  <c r="K31" i="2"/>
  <c r="K32" i="2"/>
  <c r="K33" i="2"/>
  <c r="K34" i="2"/>
</calcChain>
</file>

<file path=xl/sharedStrings.xml><?xml version="1.0" encoding="utf-8"?>
<sst xmlns="http://schemas.openxmlformats.org/spreadsheetml/2006/main" count="103" uniqueCount="83">
  <si>
    <t>Nº</t>
  </si>
  <si>
    <t>Inicio</t>
  </si>
  <si>
    <t>Fin</t>
  </si>
  <si>
    <t>Nombre Proyecto o Estudio</t>
  </si>
  <si>
    <t>Referencia (Nombre y Teléfono de contacto)</t>
  </si>
  <si>
    <t>Año</t>
  </si>
  <si>
    <t>Observaciones</t>
  </si>
  <si>
    <t>Duracion (Años)</t>
  </si>
  <si>
    <t>Duración</t>
  </si>
  <si>
    <t>Mes</t>
  </si>
  <si>
    <t>Experiencia Profesional</t>
  </si>
  <si>
    <t>Proyecto</t>
  </si>
  <si>
    <t>ANÁLISIS DE RECURSOS HÍDRICOS EN CUENCAS DE LA REGIÓN DE MAGALLANES Y DE LA ANTÁRTICA CHILENA</t>
  </si>
  <si>
    <t>Oferente</t>
  </si>
  <si>
    <t>IDIEM, UNIVERSIDAD DE CHILE</t>
  </si>
  <si>
    <t>Cargo</t>
  </si>
  <si>
    <t>Nombre del Profesional</t>
  </si>
  <si>
    <t>Fecha</t>
  </si>
  <si>
    <t>Cargo (Que tenga relación a lo solicitado en las bases técnicas)</t>
  </si>
  <si>
    <r>
      <rPr>
        <b/>
        <sz val="11"/>
        <rFont val="Calibri"/>
        <family val="2"/>
        <scheme val="minor"/>
      </rPr>
      <t>Descripción</t>
    </r>
    <r>
      <rPr>
        <sz val="11"/>
        <rFont val="Calibri"/>
        <family val="2"/>
        <scheme val="minor"/>
      </rPr>
      <t xml:space="preserve"> de labores</t>
    </r>
  </si>
  <si>
    <t>JEFE DE PROYECTO</t>
  </si>
  <si>
    <t>MARCELO ALBERTO OLIVARES</t>
  </si>
  <si>
    <t>Auditoría a la "Estrategia Nacional de Gestión Integrada de Cuencas Hidrográficas"</t>
  </si>
  <si>
    <t>Especialista en gestión de recursos hídricos</t>
  </si>
  <si>
    <t>Reuniones con la contraparte de la CONAMA. Cordinación con el equipo de trabajo. Revisión y emisión de informes.</t>
  </si>
  <si>
    <t>Jefe de proyecto James McPhee +56229784400</t>
  </si>
  <si>
    <t xml:space="preserve">Realizado para la Comisión Nacional del Medio Ambiente.No se cuenta con contacto de contraparte del estudio. </t>
  </si>
  <si>
    <t>Metodologías para el cálculo del potencial de generación con ERNC en cauces naturales</t>
  </si>
  <si>
    <t>Jefe de proyecto</t>
  </si>
  <si>
    <t>Reuniones con la contraparte de la Comisión Nacional de Energía. Cordinación del equipo de trabajo de 5 personas, incluyendo espcialistas e ingenieros de proyecto. Revisión y emisión de informes.</t>
  </si>
  <si>
    <t>Ximena Ubilla. Jefa Unidad de Gestión. División de Energías Sostenibles +56 2 365 6876</t>
  </si>
  <si>
    <t>Desarrollado para el Ministerio de Energia</t>
  </si>
  <si>
    <t>Estudio de Disponibilidad de Recursos Hídricos y Evaluación de Riesgo Hídrico</t>
  </si>
  <si>
    <t>Encargado de Estudio de Procesos y Huella de Agua</t>
  </si>
  <si>
    <t>Reuniones y presentaciones de avance a la contraparte técnica. Coordinación equipo de 3 profesionales. Revisión y emisión de informes.</t>
  </si>
  <si>
    <t>Desarrolado para CODELCO-División El Teniente</t>
  </si>
  <si>
    <t>A Grid-wide Study on Hydropower Operations and Hydrologic Alteration</t>
  </si>
  <si>
    <t>Investigador Principal (Jefe de proyecto)</t>
  </si>
  <si>
    <t>Administración de los recursos del proyecto. Rendición de gastos. Planificación de productos del proyecto. Guía de memoristas de ingeniería civil.</t>
  </si>
  <si>
    <t>Viviana Meruane. Directora Académica. Facultad de Ciencias Físicas y Matemáticas. Universidad de Chile. +56229777443</t>
  </si>
  <si>
    <t>Financiado por el programa Fondecyt de Conicyt.</t>
  </si>
  <si>
    <t>Estudio de Diagnóstico para el Fortalecimiento de la Planeación y Priorización de Acciones de Infraestructura Hidráulica</t>
  </si>
  <si>
    <t>Reuniones con contraparte de la Dirección de Obras Hidráulicas, la Dirección de Planeamiento y el Banco Mundial. Coordinación del equipo de trabajo de 4 profesionales. Emisión de informes.</t>
  </si>
  <si>
    <t>Rafael Vallebuona. Departamento de proyectos de riego DOH +56224494366</t>
  </si>
  <si>
    <t>Desarrollado para la Dirección de Obras Hidráulicas. Ministerio de Obras Públicas.</t>
  </si>
  <si>
    <t>Estudio de Modelación para el Fortalecimiento de la Planeación y Priorización de Acciones de Infraestructura Hidráulica</t>
  </si>
  <si>
    <t>Mesa Central Hidroelectricidad. Proceso Participativo de la Política Energética</t>
  </si>
  <si>
    <t>Director de proyecto</t>
  </si>
  <si>
    <t>Coordinación del equipo de especialistas temáticos y de facilitadores. Coordinación con la contraparte del Ministerio de Energía.</t>
  </si>
  <si>
    <t>Nicola Borreegard. Jefa Divisón Sustentabilidad Ministerio de Energía +56 9 8223 7191</t>
  </si>
  <si>
    <t>Para el Ministerio de Energía.</t>
  </si>
  <si>
    <t>Análisis de Condicionantes para el Desarrollo Hidroeléctrico. Cuencas de Valdivia, Bueno, Puelo y Yelcho</t>
  </si>
  <si>
    <t>Coordinación con la contraparte del Ministerio de Energía y con equipo de consultores trabajando en paralelo en otras cuencas. Presentaciones de avance ante contraparte y autoridades del Ministerio de Energía. Coordinación equipo de trabajo de aproximadamente 20 profesionales.</t>
  </si>
  <si>
    <t>Determinación de Reglas Operacionales para Embalses Priorizados en el Plan de Grandes Embalses</t>
  </si>
  <si>
    <t>Reuniones de coordinación y presentación de avances a la contraparte de la DOH. Coordinacion de equipo de trabajo de 3 personas.</t>
  </si>
  <si>
    <t>Ivonne Marchant. Jefa División de Riego DOH. +56 9 5667 8750</t>
  </si>
  <si>
    <t>Dirección de Obras Hidráulicas. Ministerio de Obras Públicas.</t>
  </si>
  <si>
    <t>Improving the governance of the floodplain in over-built river basins</t>
  </si>
  <si>
    <t>Co-investigador en equipo internacional multidiscilpinario</t>
  </si>
  <si>
    <t>Reuniones de coordinación técnica con equipo de investigadores de Brasil. Dirección de dos ingenieras de proyecto en Chile. Administración de fondos de parte chilena.</t>
  </si>
  <si>
    <t>Prof. Guilherme Marques.  Universidad federal de Río Grande do Sul. Brasil. (Jefe de Proyecto)</t>
  </si>
  <si>
    <t xml:space="preserve">Proyecto Financiado por Inter-American Institute for Global Change Research (IAI). </t>
  </si>
  <si>
    <t>Asesoría Plan Nacional de Infraestructura Hidráulica</t>
  </si>
  <si>
    <t>Asesor</t>
  </si>
  <si>
    <t>Coordinación con equipo interno de la DGOP. Reuniones de presentación de avance. Responsable de taller con expositores internacionales.</t>
  </si>
  <si>
    <t>Mariana Concha. Directora General de Obras Públicas. Ministerio de Obras Públicas. +56 9 6617 5306</t>
  </si>
  <si>
    <t>Generation of Synthetic runoff for El Paso Hydroelectric Station under historical and climate change hydrological scenarios</t>
  </si>
  <si>
    <t>Jefe de proyecto. Especialista en operación de centrales hidroeléctricas.</t>
  </si>
  <si>
    <t>Reuniones de coordinación con la contraparte. Definición de los productos del estudio con la contraparte. Conformación y coordnación de equipo de trabajo de 3 profesionales.</t>
  </si>
  <si>
    <t>Javier de la Fuente. +56 9 5990 5166</t>
  </si>
  <si>
    <t>ATCO South America.</t>
  </si>
  <si>
    <t>Determinación de Regla Operacional para el Embalse Zapallar, Región de Ñuble.</t>
  </si>
  <si>
    <t>Comparative study on water-food-energy nexus at the river basin level in Chile and China: Reconciling hydropower and competing water uses</t>
  </si>
  <si>
    <t>Coordinación del equipo multididisciplinario de profesionales, incluyendo contraparte China. Responsable por administración de recursos del proyecto. Guía de tesistas de Magister. Relación con Junta de Vigilancia del rio Tinguiririca y Junta de Vigilancia del Río Maipo, primera sección.</t>
  </si>
  <si>
    <t>Proyecto financiado por el Programa de Cooperación Internacional de CONICYT.</t>
  </si>
  <si>
    <t>Asesoría para la Definición y Revisión de Productos Estratégicos para la Difusión e Implementación de los Planes Estratégicos de Gestión Hídrica (PEGH)</t>
  </si>
  <si>
    <t>Reuniones de coordinación y avance con la contraparte. Reuniones con equipos consultores de los PEGHs analizados. Emisión de informe.</t>
  </si>
  <si>
    <t>Cristian Nuñez +56 9 9403 0384</t>
  </si>
  <si>
    <t>Para la Dirección General de Aguas. Ministerio de Obras Públicas.</t>
  </si>
  <si>
    <t>Herramientas computacionales para la planificación de proyectos de desalación de agua de mar financiados a través de asociaciones público-privadas con perspectiva del nexo agua-energía-alimentos</t>
  </si>
  <si>
    <t>Definición estratégica de todos los productos del proyecto. Coordinación equipo de trabajo de 8 profesionales. Reuniones con la contraparte de la Dirección General de Concesiones del Ministerio de Obras Públicas.</t>
  </si>
  <si>
    <t>Luis Elton +56 9 7769 3671 Dirección General de Concesiones. MOP.</t>
  </si>
  <si>
    <t>Proyecto financiado por ANID programa Fondef IDeA I+D. En colaboración con la Dirección General de Concesiones MOP.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</si>
</sst>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0" fillId="0" borderId="0" xfId="0" applyAlignment="1"/>
    <xf numFmtId="0" fontId="2" fillId="0" borderId="1" xfId="0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Alignment="1"/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2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30022-80EA-4927-8FE3-5BDA5604C232}">
  <dimension ref="A1:U34"/>
  <sheetViews>
    <sheetView tabSelected="1" zoomScale="80" zoomScaleNormal="80" workbookViewId="0">
      <selection activeCell="E39" sqref="E39"/>
    </sheetView>
  </sheetViews>
  <sheetFormatPr baseColWidth="10" defaultRowHeight="15.5" x14ac:dyDescent="0.35"/>
  <cols>
    <col min="1" max="5" width="10.75" bestFit="1" customWidth="1"/>
    <col min="6" max="10" width="31.6640625" customWidth="1"/>
    <col min="11" max="11" width="10.75" bestFit="1" customWidth="1"/>
    <col min="13" max="13" width="11.25" bestFit="1" customWidth="1"/>
    <col min="22" max="16384" width="10.6640625" style="5"/>
  </cols>
  <sheetData>
    <row r="1" spans="1:21" x14ac:dyDescent="0.35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21" x14ac:dyDescent="0.35">
      <c r="A2" s="10" t="s">
        <v>11</v>
      </c>
      <c r="B2" s="10"/>
      <c r="C2" s="11" t="s">
        <v>12</v>
      </c>
      <c r="D2" s="11"/>
      <c r="E2" s="11"/>
      <c r="F2" s="11"/>
      <c r="G2" s="11"/>
      <c r="H2" s="11"/>
      <c r="I2" s="11"/>
      <c r="J2" s="11"/>
      <c r="K2" s="11"/>
    </row>
    <row r="3" spans="1:21" x14ac:dyDescent="0.35">
      <c r="A3" s="10" t="s">
        <v>13</v>
      </c>
      <c r="B3" s="10"/>
      <c r="C3" s="11" t="s">
        <v>14</v>
      </c>
      <c r="D3" s="11"/>
      <c r="E3" s="11"/>
      <c r="F3" s="11"/>
      <c r="G3" s="11"/>
      <c r="H3" s="11"/>
      <c r="I3" s="11"/>
      <c r="J3" s="11"/>
      <c r="K3" s="11"/>
    </row>
    <row r="4" spans="1:21" x14ac:dyDescent="0.35">
      <c r="A4" s="10" t="s">
        <v>15</v>
      </c>
      <c r="B4" s="10"/>
      <c r="C4" s="11" t="s">
        <v>20</v>
      </c>
      <c r="D4" s="11"/>
      <c r="E4" s="11"/>
      <c r="F4" s="11"/>
      <c r="G4" s="11"/>
      <c r="H4" s="11"/>
      <c r="I4" s="11"/>
      <c r="J4" s="11"/>
      <c r="K4" s="11"/>
    </row>
    <row r="5" spans="1:21" x14ac:dyDescent="0.35">
      <c r="A5" s="10" t="s">
        <v>16</v>
      </c>
      <c r="B5" s="10"/>
      <c r="C5" s="11" t="s">
        <v>21</v>
      </c>
      <c r="D5" s="11"/>
      <c r="E5" s="11"/>
      <c r="F5" s="11"/>
      <c r="G5" s="11"/>
      <c r="H5" s="11"/>
      <c r="I5" s="11"/>
      <c r="J5" s="11"/>
      <c r="K5" s="11"/>
    </row>
    <row r="6" spans="1:21" x14ac:dyDescent="0.35">
      <c r="A6" s="10" t="s">
        <v>17</v>
      </c>
      <c r="B6" s="10"/>
      <c r="C6" s="12">
        <v>45890</v>
      </c>
      <c r="D6" s="11"/>
      <c r="E6" s="11"/>
      <c r="F6" s="11"/>
      <c r="G6" s="11"/>
      <c r="H6" s="11"/>
      <c r="I6" s="11"/>
      <c r="J6" s="11"/>
      <c r="K6" s="11"/>
    </row>
    <row r="7" spans="1:21" x14ac:dyDescent="0.35">
      <c r="A7" s="8" t="s">
        <v>0</v>
      </c>
      <c r="B7" s="9" t="s">
        <v>8</v>
      </c>
      <c r="C7" s="9"/>
      <c r="D7" s="9"/>
      <c r="E7" s="9"/>
      <c r="F7" s="8" t="s">
        <v>3</v>
      </c>
      <c r="G7" s="8" t="s">
        <v>18</v>
      </c>
      <c r="H7" s="8" t="s">
        <v>19</v>
      </c>
      <c r="I7" s="8" t="s">
        <v>4</v>
      </c>
      <c r="J7" s="8" t="s">
        <v>6</v>
      </c>
      <c r="K7" s="8" t="s">
        <v>7</v>
      </c>
    </row>
    <row r="8" spans="1:21" x14ac:dyDescent="0.35">
      <c r="A8" s="8"/>
      <c r="B8" s="9" t="s">
        <v>1</v>
      </c>
      <c r="C8" s="9"/>
      <c r="D8" s="9" t="s">
        <v>2</v>
      </c>
      <c r="E8" s="9"/>
      <c r="F8" s="8"/>
      <c r="G8" s="8"/>
      <c r="H8" s="8"/>
      <c r="I8" s="8"/>
      <c r="J8" s="8"/>
      <c r="K8" s="8"/>
    </row>
    <row r="9" spans="1:21" x14ac:dyDescent="0.35">
      <c r="A9" s="8"/>
      <c r="B9" s="1" t="s">
        <v>9</v>
      </c>
      <c r="C9" s="1" t="s">
        <v>5</v>
      </c>
      <c r="D9" s="1" t="s">
        <v>9</v>
      </c>
      <c r="E9" s="1" t="s">
        <v>5</v>
      </c>
      <c r="F9" s="8"/>
      <c r="G9" s="8"/>
      <c r="H9" s="8"/>
      <c r="I9" s="8"/>
      <c r="J9" s="8"/>
      <c r="K9" s="8"/>
    </row>
    <row r="10" spans="1:21" s="6" customFormat="1" x14ac:dyDescent="0.35">
      <c r="A10" s="4">
        <v>1</v>
      </c>
      <c r="B10" s="4">
        <v>1</v>
      </c>
      <c r="C10" s="4">
        <v>2009</v>
      </c>
      <c r="D10" s="4">
        <v>12</v>
      </c>
      <c r="E10" s="4">
        <v>2009</v>
      </c>
      <c r="F10" s="13" t="s">
        <v>22</v>
      </c>
      <c r="G10" s="13" t="s">
        <v>23</v>
      </c>
      <c r="H10" s="13" t="s">
        <v>24</v>
      </c>
      <c r="I10" s="13" t="s">
        <v>25</v>
      </c>
      <c r="J10" s="13" t="s">
        <v>26</v>
      </c>
      <c r="K10" s="2">
        <f>IF(AND(B10&lt;&gt;"",C10&lt;&gt;"",D10&lt;&gt;"",E10&lt;&gt;""),((EDATE(DATE(E10,D10,1),1)-1)-DATE(C10,B10,1))/365,"")</f>
        <v>0.99726027397260275</v>
      </c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s="6" customFormat="1" x14ac:dyDescent="0.35">
      <c r="A11" s="4">
        <v>2</v>
      </c>
      <c r="B11" s="4">
        <v>1</v>
      </c>
      <c r="C11" s="4">
        <v>2010</v>
      </c>
      <c r="D11" s="4">
        <v>8</v>
      </c>
      <c r="E11" s="4">
        <v>2010</v>
      </c>
      <c r="F11" s="13" t="s">
        <v>27</v>
      </c>
      <c r="G11" s="13" t="s">
        <v>28</v>
      </c>
      <c r="H11" s="13" t="s">
        <v>29</v>
      </c>
      <c r="I11" s="13" t="s">
        <v>30</v>
      </c>
      <c r="J11" s="13" t="s">
        <v>31</v>
      </c>
      <c r="K11" s="2">
        <f t="shared" ref="K11:K25" si="0">IF(AND(B11&lt;&gt;"",C11&lt;&gt;"",D11&lt;&gt;"",E11&lt;&gt;""),((EDATE(DATE(E11,D11,1),1)-1)-DATE(C11,B11,1))/365,"")</f>
        <v>0.66301369863013704</v>
      </c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s="6" customFormat="1" x14ac:dyDescent="0.35">
      <c r="A12" s="4">
        <v>3</v>
      </c>
      <c r="B12" s="4">
        <v>9</v>
      </c>
      <c r="C12" s="4">
        <v>2010</v>
      </c>
      <c r="D12" s="4">
        <v>12</v>
      </c>
      <c r="E12" s="4">
        <v>2011</v>
      </c>
      <c r="F12" s="13" t="s">
        <v>32</v>
      </c>
      <c r="G12" s="13" t="s">
        <v>33</v>
      </c>
      <c r="H12" s="13" t="s">
        <v>34</v>
      </c>
      <c r="I12" s="13" t="s">
        <v>25</v>
      </c>
      <c r="J12" s="13" t="s">
        <v>35</v>
      </c>
      <c r="K12" s="2">
        <f t="shared" si="0"/>
        <v>1.3315068493150686</v>
      </c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s="6" customFormat="1" x14ac:dyDescent="0.35">
      <c r="A13" s="4">
        <v>4</v>
      </c>
      <c r="B13" s="4">
        <v>12</v>
      </c>
      <c r="C13" s="4">
        <v>2011</v>
      </c>
      <c r="D13" s="4">
        <v>11</v>
      </c>
      <c r="E13" s="4">
        <v>2014</v>
      </c>
      <c r="F13" s="13" t="s">
        <v>36</v>
      </c>
      <c r="G13" s="13" t="s">
        <v>37</v>
      </c>
      <c r="H13" s="13" t="s">
        <v>38</v>
      </c>
      <c r="I13" s="13" t="s">
        <v>39</v>
      </c>
      <c r="J13" s="13" t="s">
        <v>40</v>
      </c>
      <c r="K13" s="2">
        <f t="shared" si="0"/>
        <v>3</v>
      </c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s="6" customFormat="1" x14ac:dyDescent="0.35">
      <c r="A14" s="4">
        <v>5</v>
      </c>
      <c r="B14" s="4">
        <v>1</v>
      </c>
      <c r="C14" s="4">
        <v>2013</v>
      </c>
      <c r="D14" s="4">
        <v>6</v>
      </c>
      <c r="E14" s="4">
        <v>2013</v>
      </c>
      <c r="F14" s="13" t="s">
        <v>41</v>
      </c>
      <c r="G14" s="13" t="s">
        <v>28</v>
      </c>
      <c r="H14" s="13" t="s">
        <v>42</v>
      </c>
      <c r="I14" s="13" t="s">
        <v>43</v>
      </c>
      <c r="J14" s="13" t="s">
        <v>44</v>
      </c>
      <c r="K14" s="2">
        <f t="shared" si="0"/>
        <v>0.49315068493150682</v>
      </c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s="6" customFormat="1" x14ac:dyDescent="0.35">
      <c r="A15" s="4">
        <v>6</v>
      </c>
      <c r="B15" s="4">
        <v>7</v>
      </c>
      <c r="C15" s="4">
        <v>2013</v>
      </c>
      <c r="D15" s="4">
        <v>12</v>
      </c>
      <c r="E15" s="4">
        <v>2013</v>
      </c>
      <c r="F15" s="13" t="s">
        <v>45</v>
      </c>
      <c r="G15" s="13" t="s">
        <v>28</v>
      </c>
      <c r="H15" s="13" t="s">
        <v>42</v>
      </c>
      <c r="I15" s="13" t="s">
        <v>43</v>
      </c>
      <c r="J15" s="13" t="s">
        <v>44</v>
      </c>
      <c r="K15" s="2">
        <f t="shared" si="0"/>
        <v>0.50136986301369868</v>
      </c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s="6" customFormat="1" x14ac:dyDescent="0.35">
      <c r="A16" s="4">
        <v>7</v>
      </c>
      <c r="B16" s="4">
        <v>3</v>
      </c>
      <c r="C16" s="4">
        <v>2014</v>
      </c>
      <c r="D16" s="4">
        <v>12</v>
      </c>
      <c r="E16" s="4">
        <v>2014</v>
      </c>
      <c r="F16" s="13" t="s">
        <v>46</v>
      </c>
      <c r="G16" s="13" t="s">
        <v>47</v>
      </c>
      <c r="H16" s="13" t="s">
        <v>48</v>
      </c>
      <c r="I16" s="13" t="s">
        <v>49</v>
      </c>
      <c r="J16" s="13" t="s">
        <v>50</v>
      </c>
      <c r="K16" s="2">
        <f t="shared" si="0"/>
        <v>0.83561643835616439</v>
      </c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s="6" customFormat="1" x14ac:dyDescent="0.35">
      <c r="A17" s="4">
        <v>8</v>
      </c>
      <c r="B17" s="4">
        <v>3</v>
      </c>
      <c r="C17" s="4">
        <v>2015</v>
      </c>
      <c r="D17" s="4">
        <v>6</v>
      </c>
      <c r="E17" s="4">
        <v>2016</v>
      </c>
      <c r="F17" s="13" t="s">
        <v>51</v>
      </c>
      <c r="G17" s="13" t="s">
        <v>47</v>
      </c>
      <c r="H17" s="13" t="s">
        <v>52</v>
      </c>
      <c r="I17" s="13" t="s">
        <v>49</v>
      </c>
      <c r="J17" s="13" t="s">
        <v>50</v>
      </c>
      <c r="K17" s="2">
        <f t="shared" si="0"/>
        <v>1.3342465753424657</v>
      </c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s="6" customFormat="1" x14ac:dyDescent="0.35">
      <c r="A18" s="4">
        <v>9</v>
      </c>
      <c r="B18" s="4">
        <v>8</v>
      </c>
      <c r="C18" s="4">
        <v>2016</v>
      </c>
      <c r="D18" s="4">
        <v>12</v>
      </c>
      <c r="E18" s="4">
        <v>2017</v>
      </c>
      <c r="F18" s="13" t="s">
        <v>53</v>
      </c>
      <c r="G18" s="13" t="s">
        <v>28</v>
      </c>
      <c r="H18" s="13" t="s">
        <v>54</v>
      </c>
      <c r="I18" s="13" t="s">
        <v>55</v>
      </c>
      <c r="J18" s="13" t="s">
        <v>56</v>
      </c>
      <c r="K18" s="2">
        <f t="shared" si="0"/>
        <v>1.4164383561643836</v>
      </c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s="6" customFormat="1" x14ac:dyDescent="0.35">
      <c r="A19" s="4">
        <v>10</v>
      </c>
      <c r="B19" s="4">
        <v>3</v>
      </c>
      <c r="C19" s="4">
        <v>2019</v>
      </c>
      <c r="D19" s="4">
        <v>6</v>
      </c>
      <c r="E19" s="4">
        <v>2021</v>
      </c>
      <c r="F19" s="13" t="s">
        <v>57</v>
      </c>
      <c r="G19" s="13" t="s">
        <v>58</v>
      </c>
      <c r="H19" s="13" t="s">
        <v>59</v>
      </c>
      <c r="I19" s="13" t="s">
        <v>60</v>
      </c>
      <c r="J19" s="13" t="s">
        <v>61</v>
      </c>
      <c r="K19" s="2">
        <f t="shared" si="0"/>
        <v>2.3342465753424659</v>
      </c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s="6" customFormat="1" x14ac:dyDescent="0.35">
      <c r="A20" s="4">
        <v>11</v>
      </c>
      <c r="B20" s="4">
        <v>11</v>
      </c>
      <c r="C20" s="4">
        <v>2019</v>
      </c>
      <c r="D20" s="4">
        <v>5</v>
      </c>
      <c r="E20" s="4">
        <v>2020</v>
      </c>
      <c r="F20" s="13" t="s">
        <v>62</v>
      </c>
      <c r="G20" s="13" t="s">
        <v>63</v>
      </c>
      <c r="H20" s="13" t="s">
        <v>64</v>
      </c>
      <c r="I20" s="13" t="s">
        <v>65</v>
      </c>
      <c r="J20" s="13"/>
      <c r="K20" s="2">
        <f t="shared" si="0"/>
        <v>0.58082191780821912</v>
      </c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s="6" customFormat="1" x14ac:dyDescent="0.35">
      <c r="A21" s="4">
        <v>12</v>
      </c>
      <c r="B21" s="4">
        <v>7</v>
      </c>
      <c r="C21" s="4">
        <v>2020</v>
      </c>
      <c r="D21" s="4">
        <v>9</v>
      </c>
      <c r="E21" s="4">
        <v>2020</v>
      </c>
      <c r="F21" s="13" t="s">
        <v>66</v>
      </c>
      <c r="G21" s="13" t="s">
        <v>67</v>
      </c>
      <c r="H21" s="13" t="s">
        <v>68</v>
      </c>
      <c r="I21" s="13" t="s">
        <v>69</v>
      </c>
      <c r="J21" s="13" t="s">
        <v>70</v>
      </c>
      <c r="K21" s="2">
        <f t="shared" si="0"/>
        <v>0.24931506849315069</v>
      </c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s="6" customFormat="1" x14ac:dyDescent="0.35">
      <c r="A22" s="4">
        <v>13</v>
      </c>
      <c r="B22" s="4">
        <v>11</v>
      </c>
      <c r="C22" s="4">
        <v>2020</v>
      </c>
      <c r="D22" s="4">
        <v>8</v>
      </c>
      <c r="E22" s="4">
        <v>2021</v>
      </c>
      <c r="F22" s="13" t="s">
        <v>71</v>
      </c>
      <c r="G22" s="13" t="s">
        <v>28</v>
      </c>
      <c r="H22" s="13" t="s">
        <v>54</v>
      </c>
      <c r="I22" s="13" t="s">
        <v>55</v>
      </c>
      <c r="J22" s="13" t="s">
        <v>56</v>
      </c>
      <c r="K22" s="2">
        <f t="shared" si="0"/>
        <v>0.83013698630136989</v>
      </c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s="6" customFormat="1" x14ac:dyDescent="0.35">
      <c r="A23" s="4">
        <v>14</v>
      </c>
      <c r="B23" s="4">
        <v>2</v>
      </c>
      <c r="C23" s="4">
        <v>2020</v>
      </c>
      <c r="D23" s="4">
        <v>1</v>
      </c>
      <c r="E23" s="4">
        <v>2023</v>
      </c>
      <c r="F23" s="13" t="s">
        <v>72</v>
      </c>
      <c r="G23" s="13" t="s">
        <v>47</v>
      </c>
      <c r="H23" s="13" t="s">
        <v>73</v>
      </c>
      <c r="I23" s="13" t="s">
        <v>39</v>
      </c>
      <c r="J23" s="13" t="s">
        <v>74</v>
      </c>
      <c r="K23" s="2">
        <f t="shared" si="0"/>
        <v>3</v>
      </c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s="6" customFormat="1" x14ac:dyDescent="0.35">
      <c r="A24" s="4">
        <v>15</v>
      </c>
      <c r="B24" s="4">
        <v>1</v>
      </c>
      <c r="C24" s="4">
        <v>2022</v>
      </c>
      <c r="D24" s="4">
        <v>3</v>
      </c>
      <c r="E24" s="4">
        <v>2022</v>
      </c>
      <c r="F24" s="13" t="s">
        <v>75</v>
      </c>
      <c r="G24" s="13" t="s">
        <v>63</v>
      </c>
      <c r="H24" s="13" t="s">
        <v>76</v>
      </c>
      <c r="I24" s="13" t="s">
        <v>77</v>
      </c>
      <c r="J24" s="13" t="s">
        <v>78</v>
      </c>
      <c r="K24" s="2">
        <f t="shared" si="0"/>
        <v>0.24383561643835616</v>
      </c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s="6" customFormat="1" x14ac:dyDescent="0.35">
      <c r="A25" s="4">
        <v>16</v>
      </c>
      <c r="B25" s="4">
        <v>8</v>
      </c>
      <c r="C25" s="4">
        <v>2023</v>
      </c>
      <c r="D25" s="4">
        <v>8</v>
      </c>
      <c r="E25" s="4">
        <v>2025</v>
      </c>
      <c r="F25" s="13" t="s">
        <v>79</v>
      </c>
      <c r="G25" s="13" t="s">
        <v>47</v>
      </c>
      <c r="H25" s="13" t="s">
        <v>80</v>
      </c>
      <c r="I25" s="13" t="s">
        <v>81</v>
      </c>
      <c r="J25" s="13" t="s">
        <v>82</v>
      </c>
      <c r="K25" s="2">
        <f t="shared" si="0"/>
        <v>2.0849315068493151</v>
      </c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s="6" customFormat="1" x14ac:dyDescent="0.35">
      <c r="A26" s="4">
        <v>17</v>
      </c>
      <c r="B26" s="4"/>
      <c r="C26" s="4"/>
      <c r="D26" s="4"/>
      <c r="E26" s="4"/>
      <c r="F26" s="4"/>
      <c r="G26" s="4"/>
      <c r="H26" s="4"/>
      <c r="I26" s="4"/>
      <c r="J26" s="4"/>
      <c r="K26" s="2" t="str">
        <f t="shared" ref="K11:K34" si="1">IF(AND(B26&lt;&gt;"",C26&lt;&gt;"",D26&lt;&gt;"",E26&lt;&gt;""),((EDATE(DATE(E26,D26,1),1)-1)-DATE(C26,B26,1))/365,"")</f>
        <v/>
      </c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s="6" customFormat="1" x14ac:dyDescent="0.35">
      <c r="A27" s="4">
        <v>18</v>
      </c>
      <c r="B27" s="4"/>
      <c r="C27" s="4"/>
      <c r="D27" s="4"/>
      <c r="E27" s="4"/>
      <c r="F27" s="4"/>
      <c r="G27" s="4"/>
      <c r="H27" s="4"/>
      <c r="I27" s="4"/>
      <c r="J27" s="4"/>
      <c r="K27" s="2" t="str">
        <f t="shared" si="1"/>
        <v/>
      </c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s="6" customFormat="1" x14ac:dyDescent="0.35">
      <c r="A28" s="4">
        <v>19</v>
      </c>
      <c r="B28" s="4"/>
      <c r="C28" s="4"/>
      <c r="D28" s="4"/>
      <c r="E28" s="4"/>
      <c r="F28" s="4"/>
      <c r="G28" s="4"/>
      <c r="H28" s="4"/>
      <c r="I28" s="4"/>
      <c r="J28" s="4"/>
      <c r="K28" s="2" t="str">
        <f t="shared" si="1"/>
        <v/>
      </c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s="6" customFormat="1" x14ac:dyDescent="0.35">
      <c r="A29" s="4">
        <v>20</v>
      </c>
      <c r="B29" s="4"/>
      <c r="C29" s="4"/>
      <c r="D29" s="4"/>
      <c r="E29" s="4"/>
      <c r="F29" s="4"/>
      <c r="G29" s="4"/>
      <c r="H29" s="4"/>
      <c r="I29" s="4"/>
      <c r="J29" s="4"/>
      <c r="K29" s="2" t="str">
        <f t="shared" si="1"/>
        <v/>
      </c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s="6" customFormat="1" x14ac:dyDescent="0.35">
      <c r="A30" s="4">
        <v>21</v>
      </c>
      <c r="B30" s="4"/>
      <c r="C30" s="4"/>
      <c r="D30" s="4"/>
      <c r="E30" s="4"/>
      <c r="F30" s="4"/>
      <c r="G30" s="4"/>
      <c r="H30" s="4"/>
      <c r="I30" s="4"/>
      <c r="J30" s="4"/>
      <c r="K30" s="2" t="str">
        <f t="shared" si="1"/>
        <v/>
      </c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s="6" customFormat="1" x14ac:dyDescent="0.35">
      <c r="A31" s="4">
        <v>22</v>
      </c>
      <c r="B31" s="4"/>
      <c r="C31" s="4"/>
      <c r="D31" s="4"/>
      <c r="E31" s="4"/>
      <c r="F31" s="4"/>
      <c r="G31" s="4"/>
      <c r="H31" s="4"/>
      <c r="I31" s="4"/>
      <c r="J31" s="4"/>
      <c r="K31" s="2" t="str">
        <f t="shared" si="1"/>
        <v/>
      </c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s="6" customFormat="1" x14ac:dyDescent="0.35">
      <c r="A32" s="4">
        <v>23</v>
      </c>
      <c r="B32" s="4"/>
      <c r="C32" s="4"/>
      <c r="D32" s="4"/>
      <c r="E32" s="4"/>
      <c r="F32" s="4"/>
      <c r="G32" s="4"/>
      <c r="H32" s="4"/>
      <c r="I32" s="4"/>
      <c r="J32" s="4"/>
      <c r="K32" s="2" t="str">
        <f t="shared" si="1"/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s="6" customFormat="1" x14ac:dyDescent="0.35">
      <c r="A33" s="4">
        <v>24</v>
      </c>
      <c r="B33" s="4"/>
      <c r="C33" s="4"/>
      <c r="D33" s="4"/>
      <c r="E33" s="4"/>
      <c r="F33" s="4"/>
      <c r="G33" s="4"/>
      <c r="H33" s="4"/>
      <c r="I33" s="4"/>
      <c r="J33" s="4"/>
      <c r="K33" s="2" t="str">
        <f t="shared" si="1"/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s="6" customFormat="1" x14ac:dyDescent="0.35">
      <c r="A34" s="4">
        <v>25</v>
      </c>
      <c r="B34" s="4"/>
      <c r="C34" s="4"/>
      <c r="D34" s="4"/>
      <c r="E34" s="4"/>
      <c r="F34" s="4"/>
      <c r="G34" s="4"/>
      <c r="H34" s="4"/>
      <c r="I34" s="4"/>
      <c r="J34" s="4"/>
      <c r="K34" s="2" t="str">
        <f t="shared" si="1"/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</sheetData>
  <mergeCells count="21">
    <mergeCell ref="C2:K2"/>
    <mergeCell ref="A3:B3"/>
    <mergeCell ref="C3:K3"/>
    <mergeCell ref="A4:B4"/>
    <mergeCell ref="C4:K4"/>
    <mergeCell ref="A1:K1"/>
    <mergeCell ref="J7:J9"/>
    <mergeCell ref="K7:K9"/>
    <mergeCell ref="B8:C8"/>
    <mergeCell ref="D8:E8"/>
    <mergeCell ref="A5:B5"/>
    <mergeCell ref="C5:K5"/>
    <mergeCell ref="A6:B6"/>
    <mergeCell ref="C6:K6"/>
    <mergeCell ref="A7:A9"/>
    <mergeCell ref="B7:E7"/>
    <mergeCell ref="F7:F9"/>
    <mergeCell ref="G7:G9"/>
    <mergeCell ref="H7:H9"/>
    <mergeCell ref="I7:I9"/>
    <mergeCell ref="A2:B2"/>
  </mergeCells>
  <dataValidations count="2">
    <dataValidation type="list" allowBlank="1" showInputMessage="1" showErrorMessage="1" sqref="B10:B25 D10:D25" xr:uid="{54B31631-C214-4143-8BA7-33EFAF5A18C5}">
      <formula1>$C$133:$C$144</formula1>
    </dataValidation>
    <dataValidation type="whole" allowBlank="1" showInputMessage="1" showErrorMessage="1" sqref="E10:E25 C10:C25" xr:uid="{8BA4A91D-901D-49DB-BA03-29C928DEA9BB}">
      <formula1>1900</formula1>
      <formula2>2050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Troncoso</dc:creator>
  <cp:lastModifiedBy>Claudia Armijo Cortés</cp:lastModifiedBy>
  <dcterms:created xsi:type="dcterms:W3CDTF">2017-02-12T20:48:36Z</dcterms:created>
  <dcterms:modified xsi:type="dcterms:W3CDTF">2025-08-21T17:50:09Z</dcterms:modified>
</cp:coreProperties>
</file>
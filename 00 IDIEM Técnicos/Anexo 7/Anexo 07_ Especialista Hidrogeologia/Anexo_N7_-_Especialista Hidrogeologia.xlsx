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Unidades compartidas\UEPR\Licitaciones 2025\95.- 889-12-LR25 Analisis RRHH Región de Magallanes\00.- En Trabajo\CAC\Anexos CAC\ANEXO EENVIAR A MAURI\Anexo 7\"/>
    </mc:Choice>
  </mc:AlternateContent>
  <xr:revisionPtr revIDLastSave="0" documentId="8_{991FD382-4C37-4A95-9702-12A1EB3209E3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Experiencia Profesion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0" i="2" l="1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C6" i="2"/>
</calcChain>
</file>

<file path=xl/sharedStrings.xml><?xml version="1.0" encoding="utf-8"?>
<sst xmlns="http://schemas.openxmlformats.org/spreadsheetml/2006/main" count="92" uniqueCount="67">
  <si>
    <t>Nº</t>
  </si>
  <si>
    <t>Inicio</t>
  </si>
  <si>
    <t>Fin</t>
  </si>
  <si>
    <t>Nombre Proyecto o Estudio</t>
  </si>
  <si>
    <t>Referencia (Nombre y Teléfono de contacto)</t>
  </si>
  <si>
    <t>Año</t>
  </si>
  <si>
    <t>Observaciones</t>
  </si>
  <si>
    <t>Duracion (Años)</t>
  </si>
  <si>
    <t>Duración</t>
  </si>
  <si>
    <t>Mes</t>
  </si>
  <si>
    <t>Experiencia Profesional</t>
  </si>
  <si>
    <t>Proyecto</t>
  </si>
  <si>
    <t>ANÁLISIS DE RECURSOS HÍDRICOS EN CUENCAS DE LA REGIÓN DE MAGALLANES Y DE LA ANTÁRTICA CHILENA</t>
  </si>
  <si>
    <t>Oferente</t>
  </si>
  <si>
    <t>IDIEM, UNIVERSIDAD DE CHILE</t>
  </si>
  <si>
    <t>Cargo</t>
  </si>
  <si>
    <t>Nombre del Profesional</t>
  </si>
  <si>
    <t>Fecha</t>
  </si>
  <si>
    <t>Cargo (Que tenga relación a lo solicitado en las bases técnicas)</t>
  </si>
  <si>
    <r>
      <rPr>
        <b/>
        <sz val="11"/>
        <rFont val="Calibri"/>
        <family val="2"/>
        <scheme val="minor"/>
      </rPr>
      <t>Descripción</t>
    </r>
    <r>
      <rPr>
        <sz val="11"/>
        <rFont val="Calibri"/>
        <family val="2"/>
        <scheme val="minor"/>
      </rPr>
      <t xml:space="preserve"> de labores</t>
    </r>
  </si>
  <si>
    <t>ESPECIALISTA EN HIDROGEOLOGÍA</t>
  </si>
  <si>
    <t>CAROLINA BEATRIZ GUZMÁN HERNÁNDEZ</t>
  </si>
  <si>
    <t>Supervisión y gestión de perforación de sondajes hídricos, desarrollo de pruebas de bombeo, muestreo hidroquímico y realización de informes para solicitud de derechos de agua.</t>
  </si>
  <si>
    <t>Fernando Perez/ 966062662</t>
  </si>
  <si>
    <t>Supervisión de perforación de sondajes</t>
  </si>
  <si>
    <t>diamantinos, instalación de cuerdas vibrantes, desarrollo de informes técnicos</t>
  </si>
  <si>
    <t xml:space="preserve">Estudio de Infiltraciones de Relave. </t>
  </si>
  <si>
    <t>Planificación de estudios geofísicos. Estudio de infiltración. Pruebas de bombeo. Muestreo hidroquímico.</t>
  </si>
  <si>
    <t>Geóloga de Proyecto, GeoHidrologia Ltda.</t>
  </si>
  <si>
    <t>Compañía Minera Doña Inés de Collahuasi. Asesoría estratégica en recursos hídricos, geotermia y control técnico de sondajes.</t>
  </si>
  <si>
    <t>Programación y supervisión equipo de terreno en pruebas de bombeo. Muestreo y análisis hidroquímico Guatacondo, Yabricollita, Ujina, Huinquintipa</t>
  </si>
  <si>
    <t>Construcción de pozos producción SMAPA</t>
  </si>
  <si>
    <t>Geóloga de Operaciones</t>
  </si>
  <si>
    <t>Preparación de bases de licitación, supervisión y administracipon de contrato de perforación, SMAPA</t>
  </si>
  <si>
    <t>Juan Rodrigo Alvarado/987440676</t>
  </si>
  <si>
    <t xml:space="preserve">Proyección pozos APR El Principal, Comité APR El Principal, Pirque. </t>
  </si>
  <si>
    <t>HIDROGEÓLOGA JEFA PROYECTO</t>
  </si>
  <si>
    <t>Estudio Hidrogeológico</t>
  </si>
  <si>
    <t>Mariana Cervetto/964442975</t>
  </si>
  <si>
    <t xml:space="preserve">Caracterizacion hidrogeológica SSR, Hidrogeambiental SpA, Maria Pinto. </t>
  </si>
  <si>
    <t>Estudio derechos de aprovechamiento de agua</t>
  </si>
  <si>
    <t>Proyección pozos Tabali, Hidrogeoambiental SpA, Limarí</t>
  </si>
  <si>
    <t>Estado de los DAA en la cuenca rio Yelcho y subcuenca del río Serrano, para solicitud de caudales de reserva, Universidad Austral-Pew Charitable Trusts, Palena y Torres del Paine.</t>
  </si>
  <si>
    <t>ESPECIALISTA RECURSOS HÍDRICOS JEFA PROYECTO</t>
  </si>
  <si>
    <t>Pía Weber/936101338</t>
  </si>
  <si>
    <t xml:space="preserve">Proyección pozos Miguel Torres, Viña Miguel Torres, Cauquenes. </t>
  </si>
  <si>
    <t>Proyección pozos Viña Emiliana, Viña Emiliana, Limarí.</t>
  </si>
  <si>
    <t>Asesoría especifica hidrogeología, Comunidad de Peine, San Pedro de Atacama</t>
  </si>
  <si>
    <t xml:space="preserve">Estudio y desarrollo de modelo hidrogeológico para
depósito de Arenas y Lamas, III Región. </t>
  </si>
  <si>
    <t xml:space="preserve">Estudio de Línea Base hidrogeológica, Sierra Gorda,
II Región. </t>
  </si>
  <si>
    <t xml:space="preserve">Exploración de Recursos Hídricos, Salar de
Maricunga. </t>
  </si>
  <si>
    <t>Caracterización hidrogeológica Proyecto Minero 3H,  idrogeoambiental SpA, Catemu</t>
  </si>
  <si>
    <t xml:space="preserve">Consulta indígena EIA Zaldívar, para el Servicio de Evaluación Ambiental, San Pedro de Atacama. </t>
  </si>
  <si>
    <t>Proyección pozos Viña Emiliana, Viña Emiliana, Casablanca.</t>
  </si>
  <si>
    <t>Asesoría técnica y supervisión para ejecución pozos profundos, Generadora Metropolitana, Renca</t>
  </si>
  <si>
    <t>Revisión de DAA y asesoría técnica para el abastecimiento de agua comuna de Palena, Pew Chari table Trusts, Palena.</t>
  </si>
  <si>
    <t xml:space="preserve">Cartera de proyectos con soluciones a nivel de ingeniería de detalle para la potabilización de agua en 130 establecimientos públicos (postas y escuelas rurales), de las provincias de Malleco y Cautín, DOH Araucanía- </t>
  </si>
  <si>
    <t>Asesoría técnica y supervisión para la ejecución de piezómetros CODELCO VP Puchuncaví</t>
  </si>
  <si>
    <t>ESPECIALISTA RECURSOS HÍDRICOS JEFA DE PROYECTO</t>
  </si>
  <si>
    <t>Geóloga Consultora en hidrogeología, SRK Consulting (Chile) S.A.</t>
  </si>
  <si>
    <t>Geóloga Consultora en hidrogeología, SRK ConsultinG (Chile) S.A.</t>
  </si>
  <si>
    <t>Desarrollo de SIG y actualización de base de datos de los recursos existentes en la zona. Nuevas áreas de exploración. Planificación de estudios geofísicos</t>
  </si>
  <si>
    <t>Revisión EIA y asesoría hidrogeológica</t>
  </si>
  <si>
    <t>Estudios para la Construcción e instrumentación de pozos</t>
  </si>
  <si>
    <t xml:space="preserve">Estudio derechos de aprovechamiento de agua </t>
  </si>
  <si>
    <t>Estudio para la definición de nuevas fuentes de agua potable, ingeniería de detalle y construcción de pozos</t>
  </si>
  <si>
    <t>Ronald Azaad +569 9929 5841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</si>
</sst>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0" fillId="3" borderId="0" xfId="0" applyFill="1" applyAlignment="1"/>
    <xf numFmtId="0" fontId="2" fillId="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0022-80EA-4927-8FE3-5BDA5604C232}">
  <dimension ref="A1:W34"/>
  <sheetViews>
    <sheetView tabSelected="1" workbookViewId="0">
      <selection activeCell="G31" sqref="G31:G33"/>
    </sheetView>
  </sheetViews>
  <sheetFormatPr baseColWidth="10" defaultRowHeight="15.5" x14ac:dyDescent="0.35"/>
  <cols>
    <col min="1" max="5" width="10.75" bestFit="1" customWidth="1"/>
    <col min="6" max="10" width="31.6640625" customWidth="1"/>
    <col min="11" max="11" width="10.75" bestFit="1" customWidth="1"/>
    <col min="13" max="13" width="11.25" bestFit="1" customWidth="1"/>
  </cols>
  <sheetData>
    <row r="1" spans="1:23" x14ac:dyDescent="0.35">
      <c r="A1" s="6" t="s">
        <v>10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23" x14ac:dyDescent="0.35">
      <c r="A2" s="9" t="s">
        <v>11</v>
      </c>
      <c r="B2" s="9"/>
      <c r="C2" s="10" t="s">
        <v>12</v>
      </c>
      <c r="D2" s="10"/>
      <c r="E2" s="10"/>
      <c r="F2" s="10"/>
      <c r="G2" s="10"/>
      <c r="H2" s="10"/>
      <c r="I2" s="10"/>
      <c r="J2" s="10"/>
      <c r="K2" s="10"/>
    </row>
    <row r="3" spans="1:23" x14ac:dyDescent="0.35">
      <c r="A3" s="9" t="s">
        <v>13</v>
      </c>
      <c r="B3" s="9"/>
      <c r="C3" s="10" t="s">
        <v>14</v>
      </c>
      <c r="D3" s="10"/>
      <c r="E3" s="10"/>
      <c r="F3" s="10"/>
      <c r="G3" s="10"/>
      <c r="H3" s="10"/>
      <c r="I3" s="10"/>
      <c r="J3" s="10"/>
      <c r="K3" s="10"/>
    </row>
    <row r="4" spans="1:23" x14ac:dyDescent="0.35">
      <c r="A4" s="9" t="s">
        <v>15</v>
      </c>
      <c r="B4" s="9"/>
      <c r="C4" s="10" t="s">
        <v>20</v>
      </c>
      <c r="D4" s="10"/>
      <c r="E4" s="10"/>
      <c r="F4" s="10"/>
      <c r="G4" s="10"/>
      <c r="H4" s="10"/>
      <c r="I4" s="10"/>
      <c r="J4" s="10"/>
      <c r="K4" s="10"/>
    </row>
    <row r="5" spans="1:23" x14ac:dyDescent="0.35">
      <c r="A5" s="9" t="s">
        <v>16</v>
      </c>
      <c r="B5" s="9"/>
      <c r="C5" s="10" t="s">
        <v>21</v>
      </c>
      <c r="D5" s="10"/>
      <c r="E5" s="10"/>
      <c r="F5" s="10"/>
      <c r="G5" s="10"/>
      <c r="H5" s="10"/>
      <c r="I5" s="10"/>
      <c r="J5" s="10"/>
      <c r="K5" s="10"/>
    </row>
    <row r="6" spans="1:23" x14ac:dyDescent="0.35">
      <c r="A6" s="9" t="s">
        <v>17</v>
      </c>
      <c r="B6" s="9"/>
      <c r="C6" s="11">
        <f ca="1">+TODAY()</f>
        <v>45890</v>
      </c>
      <c r="D6" s="10"/>
      <c r="E6" s="10"/>
      <c r="F6" s="10"/>
      <c r="G6" s="10"/>
      <c r="H6" s="10"/>
      <c r="I6" s="10"/>
      <c r="J6" s="10"/>
      <c r="K6" s="10"/>
    </row>
    <row r="7" spans="1:23" x14ac:dyDescent="0.35">
      <c r="A7" s="7" t="s">
        <v>0</v>
      </c>
      <c r="B7" s="8" t="s">
        <v>8</v>
      </c>
      <c r="C7" s="8"/>
      <c r="D7" s="8"/>
      <c r="E7" s="8"/>
      <c r="F7" s="7" t="s">
        <v>3</v>
      </c>
      <c r="G7" s="7" t="s">
        <v>18</v>
      </c>
      <c r="H7" s="7" t="s">
        <v>19</v>
      </c>
      <c r="I7" s="7" t="s">
        <v>4</v>
      </c>
      <c r="J7" s="7" t="s">
        <v>6</v>
      </c>
      <c r="K7" s="7" t="s">
        <v>7</v>
      </c>
    </row>
    <row r="8" spans="1:23" x14ac:dyDescent="0.35">
      <c r="A8" s="7"/>
      <c r="B8" s="8" t="s">
        <v>1</v>
      </c>
      <c r="C8" s="8"/>
      <c r="D8" s="8" t="s">
        <v>2</v>
      </c>
      <c r="E8" s="8"/>
      <c r="F8" s="7"/>
      <c r="G8" s="7"/>
      <c r="H8" s="7"/>
      <c r="I8" s="7"/>
      <c r="J8" s="7"/>
      <c r="K8" s="7"/>
    </row>
    <row r="9" spans="1:23" x14ac:dyDescent="0.35">
      <c r="A9" s="7"/>
      <c r="B9" s="1" t="s">
        <v>9</v>
      </c>
      <c r="C9" s="1" t="s">
        <v>5</v>
      </c>
      <c r="D9" s="1" t="s">
        <v>9</v>
      </c>
      <c r="E9" s="1" t="s">
        <v>5</v>
      </c>
      <c r="F9" s="7"/>
      <c r="G9" s="7"/>
      <c r="H9" s="7"/>
      <c r="I9" s="7"/>
      <c r="J9" s="7"/>
      <c r="K9" s="7"/>
    </row>
    <row r="10" spans="1:23" s="3" customFormat="1" x14ac:dyDescent="0.35">
      <c r="A10" s="5">
        <v>1</v>
      </c>
      <c r="B10" s="5">
        <v>12</v>
      </c>
      <c r="C10" s="5">
        <v>2010</v>
      </c>
      <c r="D10" s="5">
        <v>3</v>
      </c>
      <c r="E10" s="5">
        <v>2011</v>
      </c>
      <c r="F10" s="12" t="s">
        <v>48</v>
      </c>
      <c r="G10" s="12" t="s">
        <v>59</v>
      </c>
      <c r="H10" s="12" t="s">
        <v>22</v>
      </c>
      <c r="I10" s="12" t="s">
        <v>23</v>
      </c>
      <c r="J10" s="5"/>
      <c r="K10" s="2">
        <f>IF(AND(B10&lt;&gt;"",C10&lt;&gt;"",D10&lt;&gt;"",E10&lt;&gt;""),((EDATE(DATE(E10,D10,1),1)-1)-DATE(C10,B10,1))/365,"")</f>
        <v>0.32876712328767121</v>
      </c>
    </row>
    <row r="11" spans="1:23" s="3" customFormat="1" x14ac:dyDescent="0.35">
      <c r="A11" s="5">
        <v>2</v>
      </c>
      <c r="B11" s="5">
        <v>4</v>
      </c>
      <c r="C11" s="5">
        <v>2011</v>
      </c>
      <c r="D11" s="5">
        <v>7</v>
      </c>
      <c r="E11" s="5">
        <v>2011</v>
      </c>
      <c r="F11" s="12" t="s">
        <v>49</v>
      </c>
      <c r="G11" s="12" t="s">
        <v>59</v>
      </c>
      <c r="H11" s="12" t="s">
        <v>24</v>
      </c>
      <c r="I11" s="12" t="s">
        <v>23</v>
      </c>
      <c r="J11" s="5"/>
      <c r="K11" s="2">
        <f t="shared" ref="K11:K34" si="0">IF(AND(B11&lt;&gt;"",C11&lt;&gt;"",D11&lt;&gt;"",E11&lt;&gt;""),((EDATE(DATE(E11,D11,1),1)-1)-DATE(C11,B11,1))/365,"")</f>
        <v>0.33150684931506852</v>
      </c>
    </row>
    <row r="12" spans="1:23" s="3" customFormat="1" x14ac:dyDescent="0.35">
      <c r="A12" s="5">
        <v>3</v>
      </c>
      <c r="B12" s="5">
        <v>8</v>
      </c>
      <c r="C12" s="5">
        <v>2011</v>
      </c>
      <c r="D12" s="5">
        <v>11</v>
      </c>
      <c r="E12" s="5">
        <v>2011</v>
      </c>
      <c r="F12" s="12" t="s">
        <v>26</v>
      </c>
      <c r="G12" s="12" t="s">
        <v>60</v>
      </c>
      <c r="H12" s="12" t="s">
        <v>25</v>
      </c>
      <c r="I12" s="12" t="s">
        <v>23</v>
      </c>
      <c r="J12" s="5"/>
      <c r="K12" s="2">
        <f t="shared" si="0"/>
        <v>0.33150684931506852</v>
      </c>
    </row>
    <row r="13" spans="1:23" s="4" customFormat="1" x14ac:dyDescent="0.35">
      <c r="A13" s="5">
        <v>4</v>
      </c>
      <c r="B13" s="5">
        <v>12</v>
      </c>
      <c r="C13" s="5">
        <v>2011</v>
      </c>
      <c r="D13" s="5">
        <v>3</v>
      </c>
      <c r="E13" s="5">
        <v>2012</v>
      </c>
      <c r="F13" s="12" t="s">
        <v>50</v>
      </c>
      <c r="G13" s="12" t="s">
        <v>28</v>
      </c>
      <c r="H13" s="12" t="s">
        <v>27</v>
      </c>
      <c r="I13" s="12"/>
      <c r="J13" s="5"/>
      <c r="K13" s="2">
        <f t="shared" si="0"/>
        <v>0.33150684931506852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3" customFormat="1" x14ac:dyDescent="0.35">
      <c r="A14" s="5">
        <v>5</v>
      </c>
      <c r="B14" s="5">
        <v>4</v>
      </c>
      <c r="C14" s="5">
        <v>2012</v>
      </c>
      <c r="D14" s="5">
        <v>10</v>
      </c>
      <c r="E14" s="5">
        <v>2012</v>
      </c>
      <c r="F14" s="12" t="s">
        <v>29</v>
      </c>
      <c r="G14" s="12" t="s">
        <v>28</v>
      </c>
      <c r="H14" s="12" t="s">
        <v>61</v>
      </c>
      <c r="I14" s="12"/>
      <c r="J14" s="5"/>
      <c r="K14" s="2">
        <f t="shared" si="0"/>
        <v>0.58356164383561648</v>
      </c>
    </row>
    <row r="15" spans="1:23" s="3" customFormat="1" x14ac:dyDescent="0.35">
      <c r="A15" s="5">
        <v>6</v>
      </c>
      <c r="B15" s="5">
        <v>10</v>
      </c>
      <c r="C15" s="5">
        <v>2013</v>
      </c>
      <c r="D15" s="5">
        <v>12</v>
      </c>
      <c r="E15" s="5">
        <v>2017</v>
      </c>
      <c r="F15" s="12" t="s">
        <v>31</v>
      </c>
      <c r="G15" s="12" t="s">
        <v>32</v>
      </c>
      <c r="H15" s="12" t="s">
        <v>30</v>
      </c>
      <c r="I15" s="12" t="s">
        <v>34</v>
      </c>
      <c r="J15" s="5"/>
      <c r="K15" s="2">
        <f t="shared" si="0"/>
        <v>4.2520547945205482</v>
      </c>
    </row>
    <row r="16" spans="1:23" s="4" customFormat="1" x14ac:dyDescent="0.35">
      <c r="A16" s="5">
        <v>7</v>
      </c>
      <c r="B16" s="5">
        <v>5</v>
      </c>
      <c r="C16" s="5">
        <v>2018</v>
      </c>
      <c r="D16" s="5">
        <v>7</v>
      </c>
      <c r="E16" s="5">
        <v>2018</v>
      </c>
      <c r="F16" s="12" t="s">
        <v>35</v>
      </c>
      <c r="G16" s="12" t="s">
        <v>36</v>
      </c>
      <c r="H16" s="12" t="s">
        <v>33</v>
      </c>
      <c r="I16" s="12"/>
      <c r="J16" s="5"/>
      <c r="K16" s="2">
        <f t="shared" si="0"/>
        <v>0.24931506849315069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3" customFormat="1" x14ac:dyDescent="0.35">
      <c r="A17" s="5">
        <v>8</v>
      </c>
      <c r="B17" s="5">
        <v>4</v>
      </c>
      <c r="C17" s="5">
        <v>2019</v>
      </c>
      <c r="D17" s="5">
        <v>10</v>
      </c>
      <c r="E17" s="5">
        <v>2019</v>
      </c>
      <c r="F17" s="12" t="s">
        <v>51</v>
      </c>
      <c r="G17" s="12" t="s">
        <v>36</v>
      </c>
      <c r="H17" s="12" t="s">
        <v>37</v>
      </c>
      <c r="I17" s="12" t="s">
        <v>38</v>
      </c>
      <c r="J17" s="5"/>
      <c r="K17" s="2">
        <f t="shared" si="0"/>
        <v>0.58356164383561648</v>
      </c>
    </row>
    <row r="18" spans="1:23" s="4" customFormat="1" x14ac:dyDescent="0.35">
      <c r="A18" s="5">
        <v>9</v>
      </c>
      <c r="B18" s="5">
        <v>10</v>
      </c>
      <c r="C18" s="5">
        <v>2020</v>
      </c>
      <c r="D18" s="5">
        <v>4</v>
      </c>
      <c r="E18" s="5">
        <v>2021</v>
      </c>
      <c r="F18" s="12" t="s">
        <v>39</v>
      </c>
      <c r="G18" s="12" t="s">
        <v>36</v>
      </c>
      <c r="H18" s="12" t="s">
        <v>37</v>
      </c>
      <c r="I18" s="12" t="s">
        <v>38</v>
      </c>
      <c r="J18" s="5"/>
      <c r="K18" s="2">
        <f t="shared" si="0"/>
        <v>0.57808219178082187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3" customFormat="1" x14ac:dyDescent="0.35">
      <c r="A19" s="5">
        <v>10</v>
      </c>
      <c r="B19" s="5">
        <v>9</v>
      </c>
      <c r="C19" s="5">
        <v>2021</v>
      </c>
      <c r="D19" s="5">
        <v>9</v>
      </c>
      <c r="E19" s="5">
        <v>2021</v>
      </c>
      <c r="F19" s="12" t="s">
        <v>41</v>
      </c>
      <c r="G19" s="12" t="s">
        <v>36</v>
      </c>
      <c r="H19" s="12" t="s">
        <v>40</v>
      </c>
      <c r="I19" s="12"/>
      <c r="J19" s="5"/>
      <c r="K19" s="2">
        <f t="shared" si="0"/>
        <v>7.9452054794520555E-2</v>
      </c>
    </row>
    <row r="20" spans="1:23" s="4" customFormat="1" x14ac:dyDescent="0.35">
      <c r="A20" s="5">
        <v>11</v>
      </c>
      <c r="B20" s="5">
        <v>1</v>
      </c>
      <c r="C20" s="5">
        <v>2022</v>
      </c>
      <c r="D20" s="5">
        <v>3</v>
      </c>
      <c r="E20" s="5">
        <v>2022</v>
      </c>
      <c r="F20" s="12" t="s">
        <v>42</v>
      </c>
      <c r="G20" s="12" t="s">
        <v>43</v>
      </c>
      <c r="H20" s="12" t="s">
        <v>37</v>
      </c>
      <c r="I20" s="12" t="s">
        <v>44</v>
      </c>
      <c r="J20" s="5"/>
      <c r="K20" s="2">
        <f t="shared" si="0"/>
        <v>0.24383561643835616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3" customFormat="1" x14ac:dyDescent="0.35">
      <c r="A21" s="5">
        <v>12</v>
      </c>
      <c r="B21" s="5">
        <v>3</v>
      </c>
      <c r="C21" s="5">
        <v>2022</v>
      </c>
      <c r="D21" s="5">
        <v>4</v>
      </c>
      <c r="E21" s="5">
        <v>2022</v>
      </c>
      <c r="F21" s="12" t="s">
        <v>45</v>
      </c>
      <c r="G21" s="12" t="s">
        <v>36</v>
      </c>
      <c r="H21" s="12" t="s">
        <v>40</v>
      </c>
      <c r="I21" s="12"/>
      <c r="J21" s="5"/>
      <c r="K21" s="2">
        <f t="shared" si="0"/>
        <v>0.16438356164383561</v>
      </c>
    </row>
    <row r="22" spans="1:23" s="4" customFormat="1" x14ac:dyDescent="0.35">
      <c r="A22" s="5">
        <v>13</v>
      </c>
      <c r="B22" s="5">
        <v>5</v>
      </c>
      <c r="C22" s="5">
        <v>2022</v>
      </c>
      <c r="D22" s="5">
        <v>8</v>
      </c>
      <c r="E22" s="5">
        <v>2022</v>
      </c>
      <c r="F22" s="12" t="s">
        <v>46</v>
      </c>
      <c r="G22" s="12" t="s">
        <v>36</v>
      </c>
      <c r="H22" s="12" t="s">
        <v>37</v>
      </c>
      <c r="I22" s="12"/>
      <c r="J22" s="5"/>
      <c r="K22" s="2">
        <f t="shared" si="0"/>
        <v>0.33424657534246577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3" customFormat="1" x14ac:dyDescent="0.35">
      <c r="A23" s="5">
        <v>14</v>
      </c>
      <c r="B23" s="5">
        <v>9</v>
      </c>
      <c r="C23" s="5">
        <v>2022</v>
      </c>
      <c r="D23" s="5">
        <v>9</v>
      </c>
      <c r="E23" s="5">
        <v>2023</v>
      </c>
      <c r="F23" s="12" t="s">
        <v>47</v>
      </c>
      <c r="G23" s="12" t="s">
        <v>36</v>
      </c>
      <c r="H23" s="12" t="s">
        <v>37</v>
      </c>
      <c r="I23" s="12"/>
      <c r="J23" s="5"/>
      <c r="K23" s="2">
        <f t="shared" si="0"/>
        <v>1.0794520547945206</v>
      </c>
    </row>
    <row r="24" spans="1:23" s="4" customFormat="1" x14ac:dyDescent="0.35">
      <c r="A24" s="5">
        <v>15</v>
      </c>
      <c r="B24" s="5">
        <v>12</v>
      </c>
      <c r="C24" s="5">
        <v>2022</v>
      </c>
      <c r="D24" s="5">
        <v>5</v>
      </c>
      <c r="E24" s="5">
        <v>2023</v>
      </c>
      <c r="F24" s="12" t="s">
        <v>52</v>
      </c>
      <c r="G24" s="12" t="s">
        <v>36</v>
      </c>
      <c r="H24" s="12" t="s">
        <v>37</v>
      </c>
      <c r="I24" s="12"/>
      <c r="J24" s="5"/>
      <c r="K24" s="2">
        <f t="shared" si="0"/>
        <v>0.49589041095890413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3" customFormat="1" x14ac:dyDescent="0.35">
      <c r="A25" s="5">
        <v>16</v>
      </c>
      <c r="B25" s="5">
        <v>3</v>
      </c>
      <c r="C25" s="5">
        <v>2023</v>
      </c>
      <c r="D25" s="5">
        <v>5</v>
      </c>
      <c r="E25" s="5">
        <v>2023</v>
      </c>
      <c r="F25" s="12" t="s">
        <v>53</v>
      </c>
      <c r="G25" s="12" t="s">
        <v>36</v>
      </c>
      <c r="H25" s="12" t="s">
        <v>62</v>
      </c>
      <c r="I25" s="12"/>
      <c r="J25" s="5"/>
      <c r="K25" s="2">
        <f t="shared" si="0"/>
        <v>0.24931506849315069</v>
      </c>
    </row>
    <row r="26" spans="1:23" s="3" customFormat="1" x14ac:dyDescent="0.35">
      <c r="A26" s="5">
        <v>17</v>
      </c>
      <c r="B26" s="5">
        <v>10</v>
      </c>
      <c r="C26" s="5">
        <v>2023</v>
      </c>
      <c r="D26" s="5">
        <v>4</v>
      </c>
      <c r="E26" s="5">
        <v>2024</v>
      </c>
      <c r="F26" s="12" t="s">
        <v>54</v>
      </c>
      <c r="G26" s="12" t="s">
        <v>36</v>
      </c>
      <c r="H26" s="12" t="s">
        <v>37</v>
      </c>
      <c r="I26" s="12"/>
      <c r="J26" s="5"/>
      <c r="K26" s="2">
        <f t="shared" si="0"/>
        <v>0.58082191780821912</v>
      </c>
    </row>
    <row r="27" spans="1:23" s="3" customFormat="1" x14ac:dyDescent="0.35">
      <c r="A27" s="5">
        <v>18</v>
      </c>
      <c r="B27" s="5">
        <v>10</v>
      </c>
      <c r="C27" s="5">
        <v>2023</v>
      </c>
      <c r="D27" s="5">
        <v>1</v>
      </c>
      <c r="E27" s="5">
        <v>2024</v>
      </c>
      <c r="F27" s="12" t="s">
        <v>55</v>
      </c>
      <c r="G27" s="12" t="s">
        <v>58</v>
      </c>
      <c r="H27" s="12" t="s">
        <v>63</v>
      </c>
      <c r="I27" s="12"/>
      <c r="J27" s="5"/>
      <c r="K27" s="2">
        <f t="shared" si="0"/>
        <v>0.33424657534246577</v>
      </c>
    </row>
    <row r="28" spans="1:23" s="3" customFormat="1" x14ac:dyDescent="0.35">
      <c r="A28" s="5">
        <v>19</v>
      </c>
      <c r="B28" s="5">
        <v>11</v>
      </c>
      <c r="C28" s="5">
        <v>2024</v>
      </c>
      <c r="D28" s="5">
        <v>11</v>
      </c>
      <c r="E28" s="5">
        <v>2026</v>
      </c>
      <c r="F28" s="12" t="s">
        <v>56</v>
      </c>
      <c r="G28" s="12" t="s">
        <v>36</v>
      </c>
      <c r="H28" s="12" t="s">
        <v>64</v>
      </c>
      <c r="I28" s="12" t="s">
        <v>66</v>
      </c>
      <c r="J28" s="5"/>
      <c r="K28" s="2">
        <f t="shared" si="0"/>
        <v>2.0794520547945203</v>
      </c>
    </row>
    <row r="29" spans="1:23" s="3" customFormat="1" x14ac:dyDescent="0.35">
      <c r="A29" s="5">
        <v>20</v>
      </c>
      <c r="B29" s="5">
        <v>4</v>
      </c>
      <c r="C29" s="5">
        <v>2024</v>
      </c>
      <c r="D29" s="5">
        <v>8</v>
      </c>
      <c r="E29" s="5">
        <v>2024</v>
      </c>
      <c r="F29" s="12" t="s">
        <v>57</v>
      </c>
      <c r="G29" s="12" t="s">
        <v>36</v>
      </c>
      <c r="H29" s="12" t="s">
        <v>65</v>
      </c>
      <c r="I29" s="12"/>
      <c r="J29" s="5"/>
      <c r="K29" s="2">
        <f t="shared" si="0"/>
        <v>0.41643835616438357</v>
      </c>
    </row>
    <row r="30" spans="1:23" s="3" customFormat="1" x14ac:dyDescent="0.35">
      <c r="A30" s="5">
        <v>21</v>
      </c>
      <c r="B30" s="5"/>
      <c r="C30" s="5"/>
      <c r="D30" s="5"/>
      <c r="E30" s="5"/>
      <c r="F30" s="5"/>
      <c r="G30" s="5"/>
      <c r="H30" s="5"/>
      <c r="I30" s="5"/>
      <c r="J30" s="5"/>
      <c r="K30" s="2" t="str">
        <f t="shared" si="0"/>
        <v/>
      </c>
    </row>
    <row r="31" spans="1:23" s="3" customFormat="1" x14ac:dyDescent="0.35">
      <c r="A31" s="5">
        <v>22</v>
      </c>
      <c r="B31" s="5"/>
      <c r="C31" s="5"/>
      <c r="D31" s="5"/>
      <c r="E31" s="5"/>
      <c r="F31" s="5"/>
      <c r="G31" s="5"/>
      <c r="H31" s="5"/>
      <c r="I31" s="5"/>
      <c r="J31" s="5"/>
      <c r="K31" s="2" t="str">
        <f t="shared" si="0"/>
        <v/>
      </c>
    </row>
    <row r="32" spans="1:23" s="3" customFormat="1" x14ac:dyDescent="0.35">
      <c r="A32" s="5">
        <v>23</v>
      </c>
      <c r="B32" s="5"/>
      <c r="C32" s="5"/>
      <c r="D32" s="5"/>
      <c r="E32" s="5"/>
      <c r="F32" s="5"/>
      <c r="G32" s="5"/>
      <c r="H32" s="5"/>
      <c r="I32" s="5"/>
      <c r="J32" s="5"/>
      <c r="K32" s="2" t="str">
        <f t="shared" si="0"/>
        <v/>
      </c>
    </row>
    <row r="33" spans="1:11" s="3" customFormat="1" x14ac:dyDescent="0.35">
      <c r="A33" s="5">
        <v>24</v>
      </c>
      <c r="B33" s="5"/>
      <c r="C33" s="5"/>
      <c r="D33" s="5"/>
      <c r="E33" s="5"/>
      <c r="F33" s="5"/>
      <c r="G33" s="5"/>
      <c r="H33" s="5"/>
      <c r="I33" s="5"/>
      <c r="J33" s="5"/>
      <c r="K33" s="2" t="str">
        <f t="shared" si="0"/>
        <v/>
      </c>
    </row>
    <row r="34" spans="1:11" s="3" customFormat="1" x14ac:dyDescent="0.35">
      <c r="A34" s="5">
        <v>25</v>
      </c>
      <c r="B34" s="5"/>
      <c r="C34" s="5"/>
      <c r="D34" s="5"/>
      <c r="E34" s="5"/>
      <c r="F34" s="5"/>
      <c r="G34" s="5"/>
      <c r="H34" s="5"/>
      <c r="I34" s="5"/>
      <c r="J34" s="5"/>
      <c r="K34" s="2" t="str">
        <f t="shared" si="0"/>
        <v/>
      </c>
    </row>
  </sheetData>
  <mergeCells count="21">
    <mergeCell ref="C2:K2"/>
    <mergeCell ref="A3:B3"/>
    <mergeCell ref="C3:K3"/>
    <mergeCell ref="A4:B4"/>
    <mergeCell ref="C4:K4"/>
    <mergeCell ref="A1:K1"/>
    <mergeCell ref="J7:J9"/>
    <mergeCell ref="K7:K9"/>
    <mergeCell ref="B8:C8"/>
    <mergeCell ref="D8:E8"/>
    <mergeCell ref="A5:B5"/>
    <mergeCell ref="C5:K5"/>
    <mergeCell ref="A6:B6"/>
    <mergeCell ref="C6:K6"/>
    <mergeCell ref="A7:A9"/>
    <mergeCell ref="B7:E7"/>
    <mergeCell ref="F7:F9"/>
    <mergeCell ref="G7:G9"/>
    <mergeCell ref="H7:H9"/>
    <mergeCell ref="I7:I9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Experiencia Profesional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Troncoso</dc:creator>
  <cp:lastModifiedBy>Claudia Armijo Cortés</cp:lastModifiedBy>
  <dcterms:created xsi:type="dcterms:W3CDTF">2017-02-12T20:48:36Z</dcterms:created>
  <dcterms:modified xsi:type="dcterms:W3CDTF">2025-08-21T17:08:56Z</dcterms:modified>
</cp:coreProperties>
</file>
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Unidades compartidas\UEPR\Licitaciones 2025\95.- 889-12-LR25 Analisis RRHH Región de Magallanes\00.- En Trabajo\CAC\Anexos CAC\ANEXO EENVIAR A MAURI\Anexo 7\Anexo 07_ Especialista RRHH\"/>
    </mc:Choice>
  </mc:AlternateContent>
  <xr:revisionPtr revIDLastSave="0" documentId="13_ncr:1_{363514BE-A340-4202-9235-8B845E14763A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0" i="2" l="1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</calcChain>
</file>

<file path=xl/sharedStrings.xml><?xml version="1.0" encoding="utf-8"?>
<sst xmlns="http://schemas.openxmlformats.org/spreadsheetml/2006/main" count="145" uniqueCount="110">
  <si>
    <t>Nº</t>
  </si>
  <si>
    <t>Inicio</t>
  </si>
  <si>
    <t>Fin</t>
  </si>
  <si>
    <t>Nombre Proyecto o Estudio</t>
  </si>
  <si>
    <t>Referencia (Nombre y Teléfono de contacto)</t>
  </si>
  <si>
    <t>Año</t>
  </si>
  <si>
    <t>Observaciones</t>
  </si>
  <si>
    <t>Duracion (Años)</t>
  </si>
  <si>
    <t>Duración</t>
  </si>
  <si>
    <t>Mes</t>
  </si>
  <si>
    <t>Ing. Detalle en 130 postas y escuela de la Araucanía (DGOP)</t>
  </si>
  <si>
    <t>Análisis de proyectos de riego con cambio climático</t>
  </si>
  <si>
    <t>Revisor de componentes hidrológicas y obras civiles</t>
  </si>
  <si>
    <t>Análisis de derechos de aguas invernales para su uso en riego</t>
  </si>
  <si>
    <t>Diagnóstico recarga de acuíferos gestionada, región de O'higgins</t>
  </si>
  <si>
    <t>Diagnóstico fuente hídrica riego agrícola, secano interior maule</t>
  </si>
  <si>
    <t>Análisis de oferta hídrica y su impacto en la agricultura</t>
  </si>
  <si>
    <t>Supervisor general del estudio, revisor de componentes hidrológicas y modelación.</t>
  </si>
  <si>
    <t>Revisor de componentes hidrológicas, modelación y obras civiles</t>
  </si>
  <si>
    <t>Ronald Azaad - Administrador de contrato
+569 9929 5841</t>
  </si>
  <si>
    <t>En curso</t>
  </si>
  <si>
    <t>Diagnóstico de soluciones de agua potable y diseño de soluciones a nivel de ingeniería de detalle</t>
  </si>
  <si>
    <t>https://bibliotecadigital.ciren.cl/items/349bc1f1-e305-4f08-aec5-b15fa1a8087f</t>
  </si>
  <si>
    <t>https://bibliotecadigital.ciren.cl/items/41aefcda-4f7c-461f-ba8b-452699a97fe9</t>
  </si>
  <si>
    <t>Diagnóstico suelos mal drenaje en Los Lagos</t>
  </si>
  <si>
    <t>https://bibliotecadigital.ciren.cl/items/3e293bb9-ea16-4f0e-9cca-9b9d748e7b0e</t>
  </si>
  <si>
    <t>https://bibliotecadigital.ciren.cl/items/4b4172fa-88be-4527-be4c-80b67b7a2388</t>
  </si>
  <si>
    <t>https://bibliotecadigital.ciren.cl/items/4eff48c7-eb85-4e89-944f-c84daef9f0fa</t>
  </si>
  <si>
    <t>Diagnóstico integral de riego, cuenca río valdivia</t>
  </si>
  <si>
    <t>https://bibliotecadigital.ciren.cl/items/b117fad8-3781-497c-922b-8f66c4cf14ed</t>
  </si>
  <si>
    <t>https://bibliotecadigital.ciren.cl/items/b8f63c00-dc19-4790-ae0e-e04a3538a1ea</t>
  </si>
  <si>
    <t>https://bibliotecadigital.ciren.cl/items/82f6de45-a8fe-4be9-9eb8-c28bbc6c5bec</t>
  </si>
  <si>
    <t>https://bibliotecadigital.ciren.cl/items/4db6caeb-8e52-43f5-a31d-0ee20002260f</t>
  </si>
  <si>
    <t>Diagnóstico recarga de acuíferos a través de canales, río Diguillín</t>
  </si>
  <si>
    <t>Construcción de sistema de riego río Rapel, región de O’higgins</t>
  </si>
  <si>
    <t>Diagnóstico para el desarrollo del riego en la comuna de San Fabián, sector 6 embalse Punilla</t>
  </si>
  <si>
    <t>https://bibliotecadigital.ciren.cl/items/20cc061f-2813-4a33-be7e-648ff2cad1fe</t>
  </si>
  <si>
    <t>Diagnóstico integral de riego, cuenca río Bueno</t>
  </si>
  <si>
    <t>https://bibliotecadigital.ciren.cl/items/83315ca4-befb-4aa1-8790-0f4364fb94fd</t>
  </si>
  <si>
    <t>Diagnóstico para el desarrollo del riego en Trehuaco y Coelemu, provincia de Itata</t>
  </si>
  <si>
    <t>https://bibliotecadigital.ciren.cl/items/e5dcf656-588d-4060-b22b-633d1763d2c7</t>
  </si>
  <si>
    <t>Diagnóstico sitios para pequeños acumuladores, riego pequeña agricultura con ERNC en Arauco</t>
  </si>
  <si>
    <t>https://bibliotecadigital.ciren.cl/items/ad694606-76e0-41ff-b9c5-19e5a0115ba8</t>
  </si>
  <si>
    <t>https://bibliotecadigital.ciren.cl/items/568bd49e-4663-4e9c-9a2c-b8d325261160</t>
  </si>
  <si>
    <t>Diagnóstico y propuestas de proyectos de riego ERNC, Los Ríos</t>
  </si>
  <si>
    <t>https://bibliotecadigital.ciren.cl/items/ec218325-f238-4b87-9507-7c6261b59bcb</t>
  </si>
  <si>
    <t>Diagnóstico y propuestas de proyectos de riego ERNC, Los Lagos</t>
  </si>
  <si>
    <t>https://bibliotecadigital.ciren.cl/items/e36e061e-d58b-4c71-bace-cfe00f5b18da</t>
  </si>
  <si>
    <t>Revisor de componentes hidrológicas, ERNC y obras civiles</t>
  </si>
  <si>
    <t>Convenio CNR y GORE Araucanía</t>
  </si>
  <si>
    <t>Jorge Venegas - Profesional Ley de Fomento CNR
+569 7609 5299</t>
  </si>
  <si>
    <t>WATS Engineering SpA - Varios proyectos</t>
  </si>
  <si>
    <t>MANKUK Consulting &amp; Services - Varios proyectos</t>
  </si>
  <si>
    <t>Alexander von Frey - Gerente
+569 8232 6754</t>
  </si>
  <si>
    <t>Manuel Calvo-Judici - Gerente operaciones
+34 699 055 620</t>
  </si>
  <si>
    <t>Marianela Matta - Jefa División de Estudios CNR
+569 9999 4089</t>
  </si>
  <si>
    <t>Revisor de componentes hidrológicas, modelación, cambio climático y obras civiles</t>
  </si>
  <si>
    <t>Revisor de componentes hidrogeológicas, modelación, calidad de agua y obras civiles</t>
  </si>
  <si>
    <t>Caracterización de línea base hidrológica en el marco de DIA e EIA, confección de PAS 156. Modelación hidráulica en HEC-RAS</t>
  </si>
  <si>
    <t>Diseño de obras civiles hidráulicas (canales, entubamientos, sedimentadores, entre otros). Modelación hidráulica en HEC-RAS.</t>
  </si>
  <si>
    <t>Ingeniero de proyecto especialista - Modelador hidráulico</t>
  </si>
  <si>
    <t>Diseño de obras civiles hidráulicas e Inspector Técnico de Obras en tranques y canales. Modelador hidráulico en HEC-RAS</t>
  </si>
  <si>
    <t>Diagnóstico y propuestas para el desarrollo de proyectos de riego con ERNC para la pequeña agricultura de la región de Magallanes y la Antártica chilena</t>
  </si>
  <si>
    <t>Ingeniero de proyecto especialista - Evaluador de recursos hídricos superficiales y subterráneos</t>
  </si>
  <si>
    <t>Revisor de componentes hidrológicas y obras civiles. Revisión de modelos hidrológicos, hidrogeológicos e hidráulicos</t>
  </si>
  <si>
    <t>Revisor de componentes hidrológicas, modelación superficial y subterránea ,diseño de obras civiles</t>
  </si>
  <si>
    <t>Supervisor general del estudio, revisor de evaluaciones hidrológicas, de infraestructura, calidad de agua, modelación subterránea y diseño de obras civiles</t>
  </si>
  <si>
    <t>Supervisor del estudio e Ingeniero de proyecto especialista de evaluaciones hidrológicos y modelamiento subterráneo</t>
  </si>
  <si>
    <t>ngeniero de proyecto especialista en evaluaciones hidrológicos y modelamiento superficial y subterráneo</t>
  </si>
  <si>
    <t>Ingeniero de proyecto especialista en evaluaciones hidrológicas y modelamiento superficial.</t>
  </si>
  <si>
    <t>Supervisor del estudio e Ingeniero de proyecto especialista en evaluación hidrológica y modelación.</t>
  </si>
  <si>
    <t>Revisor de componentes hidrológicas, modelación superficial y subterránea, cambio climático y diseño de obras civiles</t>
  </si>
  <si>
    <t>Ingeniero de proyecto especialista en evaluación y modelamiento hidrológico</t>
  </si>
  <si>
    <t>Ingeniero de proyecto especialista en evaluación y modelamiento hidrogeológico.</t>
  </si>
  <si>
    <t xml:space="preserve">Ingeniero de proyecto especialista en evaluación hidrológica y modelación de gestión </t>
  </si>
  <si>
    <t>Revisor de componentes hidrológicas, modelación WEAP y obras civiles</t>
  </si>
  <si>
    <t>Supervisor del estudio e Ingeniero de proyecto especialista en modelación hidrológica y de gestión de embalses.</t>
  </si>
  <si>
    <t>Estudio de inundación del río Tinguiririca</t>
  </si>
  <si>
    <t>Consultor especialista en recursos hídricos y modelación.</t>
  </si>
  <si>
    <t>Estimación hidrológica y modelación hidráulica en HEC-RAS para estimar láminas de inundación.</t>
  </si>
  <si>
    <t>Marcelo Gonzalez - Mandante
+569 9733 5876</t>
  </si>
  <si>
    <t>Aprobado Ord. DOH VI N°264 año 2022</t>
  </si>
  <si>
    <t>Estudio hidráulico Desagüe lago General Carrera</t>
  </si>
  <si>
    <t>Estimación hidrológica y modelación hidráulica en HEC-RAS para estimar velocidades y cotas de inundación.</t>
  </si>
  <si>
    <t>Sergio Andrade - CEO ORPC Chile
+569 8797 8424</t>
  </si>
  <si>
    <t>Consultoría privada</t>
  </si>
  <si>
    <t>Permiso de modificación de cauces naturales - Atraviesos de quebradas sin nombre "Instituto Gurdjieff", Curacaví, RM</t>
  </si>
  <si>
    <t>Consultor especialista en recursos hídricos, modelación hidráulica y diseño de obras civiles.</t>
  </si>
  <si>
    <t>Estimación hidrológica, diseño de obras hidráulicas y modelación hidráulica en HEC-RAS. Elaboración de planos y EETT.</t>
  </si>
  <si>
    <t>Roberto Castillo - Mandante
+569 9243 3595</t>
  </si>
  <si>
    <t>Expediente VP-1305-2252</t>
  </si>
  <si>
    <t>Estudio de inundación Quebradas sin nombre, instituto Gurdjieff</t>
  </si>
  <si>
    <t>ORD. DOH - RMS N°739 año 2024</t>
  </si>
  <si>
    <t>Estudio de inundación "Bodegas en sitio complejo empresarial La Montaña", comuna de Lampa</t>
  </si>
  <si>
    <t>Mariana Cervetto - CEO HGA
+569 6444 2975</t>
  </si>
  <si>
    <t>Ingeniero de proyecto Senior - Evaluación de recursos hídricos, modelador hidrológico e hidráulico.</t>
  </si>
  <si>
    <t>Supervisor general del estudio, revisor de modelación hidrológicas con cambio climático,  modelos de gestión de embalses y diseño de obras civiles de embalses.</t>
  </si>
  <si>
    <t>Revisor de evaluaciones hidrológicas e hidrogeológicas, ERNC y obras civiles.</t>
  </si>
  <si>
    <t>Experiencia Profesional</t>
  </si>
  <si>
    <t>Proyecto</t>
  </si>
  <si>
    <t>ANÁLISIS DE RECURSOS HÍDRICOS EN CUENCAS DE LA REGIÓN DE MAGALLANES Y DE LA ANTÁRTICA CHILENA</t>
  </si>
  <si>
    <t>Oferente</t>
  </si>
  <si>
    <t>IDIEM, UNIVERSIDAD DE CHILE</t>
  </si>
  <si>
    <t>Cargo</t>
  </si>
  <si>
    <t>Nombre del Profesional</t>
  </si>
  <si>
    <t>Fecha</t>
  </si>
  <si>
    <t>Cargo (Que tenga relación a lo solicitado en las bases técnicas)</t>
  </si>
  <si>
    <r>
      <rPr>
        <b/>
        <sz val="11"/>
        <rFont val="Calibri"/>
        <family val="2"/>
        <scheme val="minor"/>
      </rPr>
      <t>Descripción</t>
    </r>
    <r>
      <rPr>
        <sz val="11"/>
        <rFont val="Calibri"/>
        <family val="2"/>
        <scheme val="minor"/>
      </rPr>
      <t xml:space="preserve"> de labores</t>
    </r>
  </si>
  <si>
    <t>ESPECIALISTA EN RECURSOS HÍDRICOS</t>
  </si>
  <si>
    <t>NORBERTO ANDRES WERNER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</si>
</sst>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0" fillId="3" borderId="0" xfId="0" applyFill="1" applyAlignment="1"/>
    <xf numFmtId="0" fontId="2" fillId="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ibliotecadigital.ciren.cl/items/82f6de45-a8fe-4be9-9eb8-c28bbc6c5bec" TargetMode="External"/><Relationship Id="rId13" Type="http://schemas.openxmlformats.org/officeDocument/2006/relationships/hyperlink" Target="https://bibliotecadigital.ciren.cl/items/ad694606-76e0-41ff-b9c5-19e5a0115ba8" TargetMode="External"/><Relationship Id="rId3" Type="http://schemas.openxmlformats.org/officeDocument/2006/relationships/hyperlink" Target="https://bibliotecadigital.ciren.cl/items/3e293bb9-ea16-4f0e-9cca-9b9d748e7b0e" TargetMode="External"/><Relationship Id="rId7" Type="http://schemas.openxmlformats.org/officeDocument/2006/relationships/hyperlink" Target="https://bibliotecadigital.ciren.cl/items/b8f63c00-dc19-4790-ae0e-e04a3538a1ea" TargetMode="External"/><Relationship Id="rId12" Type="http://schemas.openxmlformats.org/officeDocument/2006/relationships/hyperlink" Target="https://bibliotecadigital.ciren.cl/items/e5dcf656-588d-4060-b22b-633d1763d2c7" TargetMode="External"/><Relationship Id="rId2" Type="http://schemas.openxmlformats.org/officeDocument/2006/relationships/hyperlink" Target="https://bibliotecadigital.ciren.cl/items/41aefcda-4f7c-461f-ba8b-452699a97fe9" TargetMode="External"/><Relationship Id="rId16" Type="http://schemas.openxmlformats.org/officeDocument/2006/relationships/hyperlink" Target="https://bibliotecadigital.ciren.cl/items/e36e061e-d58b-4c71-bace-cfe00f5b18da" TargetMode="External"/><Relationship Id="rId1" Type="http://schemas.openxmlformats.org/officeDocument/2006/relationships/hyperlink" Target="https://bibliotecadigital.ciren.cl/items/349bc1f1-e305-4f08-aec5-b15fa1a8087f" TargetMode="External"/><Relationship Id="rId6" Type="http://schemas.openxmlformats.org/officeDocument/2006/relationships/hyperlink" Target="https://bibliotecadigital.ciren.cl/items/b117fad8-3781-497c-922b-8f66c4cf14ed" TargetMode="External"/><Relationship Id="rId11" Type="http://schemas.openxmlformats.org/officeDocument/2006/relationships/hyperlink" Target="https://bibliotecadigital.ciren.cl/items/83315ca4-befb-4aa1-8790-0f4364fb94fd" TargetMode="External"/><Relationship Id="rId5" Type="http://schemas.openxmlformats.org/officeDocument/2006/relationships/hyperlink" Target="https://bibliotecadigital.ciren.cl/items/4eff48c7-eb85-4e89-944f-c84daef9f0fa" TargetMode="External"/><Relationship Id="rId15" Type="http://schemas.openxmlformats.org/officeDocument/2006/relationships/hyperlink" Target="https://bibliotecadigital.ciren.cl/items/ec218325-f238-4b87-9507-7c6261b59bcb" TargetMode="External"/><Relationship Id="rId10" Type="http://schemas.openxmlformats.org/officeDocument/2006/relationships/hyperlink" Target="https://bibliotecadigital.ciren.cl/items/20cc061f-2813-4a33-be7e-648ff2cad1fe" TargetMode="External"/><Relationship Id="rId4" Type="http://schemas.openxmlformats.org/officeDocument/2006/relationships/hyperlink" Target="https://bibliotecadigital.ciren.cl/items/4b4172fa-88be-4527-be4c-80b67b7a2388" TargetMode="External"/><Relationship Id="rId9" Type="http://schemas.openxmlformats.org/officeDocument/2006/relationships/hyperlink" Target="https://bibliotecadigital.ciren.cl/items/4db6caeb-8e52-43f5-a31d-0ee20002260f" TargetMode="External"/><Relationship Id="rId14" Type="http://schemas.openxmlformats.org/officeDocument/2006/relationships/hyperlink" Target="https://bibliotecadigital.ciren.cl/items/568bd49e-4663-4e9c-9a2c-b8d3252611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0022-80EA-4927-8FE3-5BDA5604C232}">
  <dimension ref="A1:W34"/>
  <sheetViews>
    <sheetView tabSelected="1" zoomScale="85" zoomScaleNormal="85" workbookViewId="0">
      <selection activeCell="J10" sqref="J10"/>
    </sheetView>
  </sheetViews>
  <sheetFormatPr baseColWidth="10" defaultRowHeight="15.5" x14ac:dyDescent="0.35"/>
  <cols>
    <col min="1" max="5" width="10.75" bestFit="1" customWidth="1"/>
    <col min="6" max="10" width="31.6640625" customWidth="1"/>
    <col min="11" max="11" width="10.75" bestFit="1" customWidth="1"/>
    <col min="13" max="13" width="11.25" bestFit="1" customWidth="1"/>
  </cols>
  <sheetData>
    <row r="1" spans="1:23" x14ac:dyDescent="0.35">
      <c r="A1" s="6" t="s">
        <v>98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23" x14ac:dyDescent="0.35">
      <c r="A2" s="9" t="s">
        <v>99</v>
      </c>
      <c r="B2" s="9"/>
      <c r="C2" s="10" t="s">
        <v>100</v>
      </c>
      <c r="D2" s="10"/>
      <c r="E2" s="10"/>
      <c r="F2" s="10"/>
      <c r="G2" s="10"/>
      <c r="H2" s="10"/>
      <c r="I2" s="10"/>
      <c r="J2" s="10"/>
      <c r="K2" s="10"/>
    </row>
    <row r="3" spans="1:23" x14ac:dyDescent="0.35">
      <c r="A3" s="9" t="s">
        <v>101</v>
      </c>
      <c r="B3" s="9"/>
      <c r="C3" s="10" t="s">
        <v>102</v>
      </c>
      <c r="D3" s="10"/>
      <c r="E3" s="10"/>
      <c r="F3" s="10"/>
      <c r="G3" s="10"/>
      <c r="H3" s="10"/>
      <c r="I3" s="10"/>
      <c r="J3" s="10"/>
      <c r="K3" s="10"/>
    </row>
    <row r="4" spans="1:23" x14ac:dyDescent="0.35">
      <c r="A4" s="9" t="s">
        <v>103</v>
      </c>
      <c r="B4" s="9"/>
      <c r="C4" s="10" t="s">
        <v>108</v>
      </c>
      <c r="D4" s="10"/>
      <c r="E4" s="10"/>
      <c r="F4" s="10"/>
      <c r="G4" s="10"/>
      <c r="H4" s="10"/>
      <c r="I4" s="10"/>
      <c r="J4" s="10"/>
      <c r="K4" s="10"/>
    </row>
    <row r="5" spans="1:23" x14ac:dyDescent="0.35">
      <c r="A5" s="9" t="s">
        <v>104</v>
      </c>
      <c r="B5" s="9"/>
      <c r="C5" s="10" t="s">
        <v>109</v>
      </c>
      <c r="D5" s="10"/>
      <c r="E5" s="10"/>
      <c r="F5" s="10"/>
      <c r="G5" s="10"/>
      <c r="H5" s="10"/>
      <c r="I5" s="10"/>
      <c r="J5" s="10"/>
      <c r="K5" s="10"/>
    </row>
    <row r="6" spans="1:23" x14ac:dyDescent="0.35">
      <c r="A6" s="9" t="s">
        <v>105</v>
      </c>
      <c r="B6" s="9"/>
      <c r="C6" s="11">
        <v>45890</v>
      </c>
      <c r="D6" s="10"/>
      <c r="E6" s="10"/>
      <c r="F6" s="10"/>
      <c r="G6" s="10"/>
      <c r="H6" s="10"/>
      <c r="I6" s="10"/>
      <c r="J6" s="10"/>
      <c r="K6" s="10"/>
    </row>
    <row r="7" spans="1:23" x14ac:dyDescent="0.35">
      <c r="A7" s="7" t="s">
        <v>0</v>
      </c>
      <c r="B7" s="8" t="s">
        <v>8</v>
      </c>
      <c r="C7" s="8"/>
      <c r="D7" s="8"/>
      <c r="E7" s="8"/>
      <c r="F7" s="7" t="s">
        <v>3</v>
      </c>
      <c r="G7" s="7" t="s">
        <v>106</v>
      </c>
      <c r="H7" s="7" t="s">
        <v>107</v>
      </c>
      <c r="I7" s="7" t="s">
        <v>4</v>
      </c>
      <c r="J7" s="7" t="s">
        <v>6</v>
      </c>
      <c r="K7" s="7" t="s">
        <v>7</v>
      </c>
    </row>
    <row r="8" spans="1:23" x14ac:dyDescent="0.35">
      <c r="A8" s="7"/>
      <c r="B8" s="8" t="s">
        <v>1</v>
      </c>
      <c r="C8" s="8"/>
      <c r="D8" s="8" t="s">
        <v>2</v>
      </c>
      <c r="E8" s="8"/>
      <c r="F8" s="7"/>
      <c r="G8" s="7"/>
      <c r="H8" s="7"/>
      <c r="I8" s="7"/>
      <c r="J8" s="7"/>
      <c r="K8" s="7"/>
    </row>
    <row r="9" spans="1:23" x14ac:dyDescent="0.35">
      <c r="A9" s="7"/>
      <c r="B9" s="1" t="s">
        <v>9</v>
      </c>
      <c r="C9" s="1" t="s">
        <v>5</v>
      </c>
      <c r="D9" s="1" t="s">
        <v>9</v>
      </c>
      <c r="E9" s="1" t="s">
        <v>5</v>
      </c>
      <c r="F9" s="7"/>
      <c r="G9" s="7"/>
      <c r="H9" s="7"/>
      <c r="I9" s="7"/>
      <c r="J9" s="7"/>
      <c r="K9" s="7"/>
    </row>
    <row r="10" spans="1:23" s="3" customFormat="1" x14ac:dyDescent="0.35">
      <c r="A10" s="5">
        <v>1</v>
      </c>
      <c r="B10" s="5">
        <v>12</v>
      </c>
      <c r="C10" s="5">
        <v>2024</v>
      </c>
      <c r="D10" s="5">
        <v>9</v>
      </c>
      <c r="E10" s="5">
        <v>2025</v>
      </c>
      <c r="F10" s="5" t="s">
        <v>10</v>
      </c>
      <c r="G10" s="5" t="s">
        <v>95</v>
      </c>
      <c r="H10" s="5" t="s">
        <v>21</v>
      </c>
      <c r="I10" s="5" t="s">
        <v>19</v>
      </c>
      <c r="J10" s="5" t="s">
        <v>20</v>
      </c>
      <c r="K10" s="2">
        <f>IF(AND(B10&lt;&gt;"",C10&lt;&gt;"",D10&lt;&gt;"",E10&lt;&gt;""),((EDATE(DATE(E10,D10,1),1)-1)-DATE(C10,B10,1))/365,"")</f>
        <v>0.83013698630136989</v>
      </c>
    </row>
    <row r="11" spans="1:23" s="3" customFormat="1" x14ac:dyDescent="0.35">
      <c r="A11" s="5">
        <v>2</v>
      </c>
      <c r="B11" s="5">
        <v>9</v>
      </c>
      <c r="C11" s="5">
        <v>2024</v>
      </c>
      <c r="D11" s="5">
        <v>11</v>
      </c>
      <c r="E11" s="5">
        <v>2024</v>
      </c>
      <c r="F11" s="5" t="s">
        <v>91</v>
      </c>
      <c r="G11" s="5" t="s">
        <v>78</v>
      </c>
      <c r="H11" s="5" t="s">
        <v>79</v>
      </c>
      <c r="I11" s="5" t="s">
        <v>89</v>
      </c>
      <c r="J11" s="5" t="s">
        <v>92</v>
      </c>
      <c r="K11" s="2">
        <f t="shared" ref="K11:K34" si="0">IF(AND(B11&lt;&gt;"",C11&lt;&gt;"",D11&lt;&gt;"",E11&lt;&gt;""),((EDATE(DATE(E11,D11,1),1)-1)-DATE(C11,B11,1))/365,"")</f>
        <v>0.24657534246575341</v>
      </c>
    </row>
    <row r="12" spans="1:23" s="3" customFormat="1" x14ac:dyDescent="0.35">
      <c r="A12" s="5">
        <v>3</v>
      </c>
      <c r="B12" s="5">
        <v>1</v>
      </c>
      <c r="C12" s="5">
        <v>2024</v>
      </c>
      <c r="D12" s="5">
        <v>8</v>
      </c>
      <c r="E12" s="5">
        <v>2024</v>
      </c>
      <c r="F12" s="5" t="s">
        <v>86</v>
      </c>
      <c r="G12" s="5" t="s">
        <v>87</v>
      </c>
      <c r="H12" s="5" t="s">
        <v>88</v>
      </c>
      <c r="I12" s="5" t="s">
        <v>89</v>
      </c>
      <c r="J12" s="5" t="s">
        <v>90</v>
      </c>
      <c r="K12" s="2">
        <f t="shared" si="0"/>
        <v>0.66575342465753429</v>
      </c>
    </row>
    <row r="13" spans="1:23" s="4" customFormat="1" x14ac:dyDescent="0.35">
      <c r="A13" s="5">
        <v>4</v>
      </c>
      <c r="B13" s="5">
        <v>9</v>
      </c>
      <c r="C13" s="5">
        <v>2023</v>
      </c>
      <c r="D13" s="5">
        <v>12</v>
      </c>
      <c r="E13" s="5">
        <v>2023</v>
      </c>
      <c r="F13" s="5" t="s">
        <v>11</v>
      </c>
      <c r="G13" s="5" t="s">
        <v>76</v>
      </c>
      <c r="H13" s="5" t="s">
        <v>96</v>
      </c>
      <c r="I13" s="5" t="s">
        <v>55</v>
      </c>
      <c r="J13" s="5" t="s">
        <v>22</v>
      </c>
      <c r="K13" s="2">
        <f t="shared" si="0"/>
        <v>0.33150684931506852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3" customFormat="1" x14ac:dyDescent="0.35">
      <c r="A14" s="5">
        <v>5</v>
      </c>
      <c r="B14" s="5">
        <v>6</v>
      </c>
      <c r="C14" s="5">
        <v>2023</v>
      </c>
      <c r="D14" s="5">
        <v>8</v>
      </c>
      <c r="E14" s="5">
        <v>2023</v>
      </c>
      <c r="F14" s="5" t="s">
        <v>24</v>
      </c>
      <c r="G14" s="5" t="s">
        <v>74</v>
      </c>
      <c r="H14" s="5" t="s">
        <v>75</v>
      </c>
      <c r="I14" s="5" t="s">
        <v>55</v>
      </c>
      <c r="J14" s="5" t="s">
        <v>23</v>
      </c>
      <c r="K14" s="2">
        <f t="shared" si="0"/>
        <v>0.24931506849315069</v>
      </c>
    </row>
    <row r="15" spans="1:23" s="3" customFormat="1" x14ac:dyDescent="0.35">
      <c r="A15" s="5">
        <v>6</v>
      </c>
      <c r="B15" s="5">
        <v>3</v>
      </c>
      <c r="C15" s="5">
        <v>2023</v>
      </c>
      <c r="D15" s="5">
        <v>5</v>
      </c>
      <c r="E15" s="5">
        <v>2023</v>
      </c>
      <c r="F15" s="5" t="s">
        <v>82</v>
      </c>
      <c r="G15" s="5" t="s">
        <v>78</v>
      </c>
      <c r="H15" s="5" t="s">
        <v>83</v>
      </c>
      <c r="I15" s="5" t="s">
        <v>84</v>
      </c>
      <c r="J15" s="5" t="s">
        <v>85</v>
      </c>
      <c r="K15" s="2">
        <f t="shared" si="0"/>
        <v>0.24931506849315069</v>
      </c>
    </row>
    <row r="16" spans="1:23" s="4" customFormat="1" x14ac:dyDescent="0.35">
      <c r="A16" s="5">
        <v>7</v>
      </c>
      <c r="B16" s="5">
        <v>12</v>
      </c>
      <c r="C16" s="5">
        <v>2022</v>
      </c>
      <c r="D16" s="5">
        <v>2</v>
      </c>
      <c r="E16" s="5">
        <v>2023</v>
      </c>
      <c r="F16" s="5" t="s">
        <v>13</v>
      </c>
      <c r="G16" s="5" t="s">
        <v>72</v>
      </c>
      <c r="H16" s="5" t="s">
        <v>56</v>
      </c>
      <c r="I16" s="5" t="s">
        <v>55</v>
      </c>
      <c r="J16" s="5" t="s">
        <v>25</v>
      </c>
      <c r="K16" s="2">
        <f t="shared" si="0"/>
        <v>0.24383561643835616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3" customFormat="1" x14ac:dyDescent="0.35">
      <c r="A17" s="5">
        <v>8</v>
      </c>
      <c r="B17" s="5">
        <v>9</v>
      </c>
      <c r="C17" s="5">
        <v>2022</v>
      </c>
      <c r="D17" s="5">
        <v>11</v>
      </c>
      <c r="E17" s="5">
        <v>2022</v>
      </c>
      <c r="F17" s="5" t="s">
        <v>14</v>
      </c>
      <c r="G17" s="5" t="s">
        <v>73</v>
      </c>
      <c r="H17" s="5" t="s">
        <v>57</v>
      </c>
      <c r="I17" s="5" t="s">
        <v>55</v>
      </c>
      <c r="J17" s="5" t="s">
        <v>26</v>
      </c>
      <c r="K17" s="2">
        <f t="shared" si="0"/>
        <v>0.24657534246575341</v>
      </c>
    </row>
    <row r="18" spans="1:23" s="4" customFormat="1" x14ac:dyDescent="0.35">
      <c r="A18" s="5">
        <v>9</v>
      </c>
      <c r="B18" s="5">
        <v>6</v>
      </c>
      <c r="C18" s="5">
        <v>2022</v>
      </c>
      <c r="D18" s="5">
        <v>8</v>
      </c>
      <c r="E18" s="5">
        <v>2022</v>
      </c>
      <c r="F18" s="5" t="s">
        <v>77</v>
      </c>
      <c r="G18" s="5" t="s">
        <v>78</v>
      </c>
      <c r="H18" s="5" t="s">
        <v>79</v>
      </c>
      <c r="I18" s="5" t="s">
        <v>80</v>
      </c>
      <c r="J18" s="5" t="s">
        <v>81</v>
      </c>
      <c r="K18" s="2">
        <f t="shared" si="0"/>
        <v>0.24931506849315069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3" customFormat="1" x14ac:dyDescent="0.35">
      <c r="A19" s="5">
        <v>10</v>
      </c>
      <c r="B19" s="5">
        <v>3</v>
      </c>
      <c r="C19" s="5">
        <v>2022</v>
      </c>
      <c r="D19" s="5">
        <v>5</v>
      </c>
      <c r="E19" s="5">
        <v>2022</v>
      </c>
      <c r="F19" s="5" t="s">
        <v>15</v>
      </c>
      <c r="G19" s="5" t="s">
        <v>63</v>
      </c>
      <c r="H19" s="5" t="s">
        <v>71</v>
      </c>
      <c r="I19" s="5" t="s">
        <v>55</v>
      </c>
      <c r="J19" s="5" t="s">
        <v>27</v>
      </c>
      <c r="K19" s="2">
        <f t="shared" si="0"/>
        <v>0.24931506849315069</v>
      </c>
    </row>
    <row r="20" spans="1:23" s="4" customFormat="1" x14ac:dyDescent="0.35">
      <c r="A20" s="5">
        <v>11</v>
      </c>
      <c r="B20" s="5">
        <v>12</v>
      </c>
      <c r="C20" s="5">
        <v>2021</v>
      </c>
      <c r="D20" s="5">
        <v>2</v>
      </c>
      <c r="E20" s="5">
        <v>2022</v>
      </c>
      <c r="F20" s="5" t="s">
        <v>28</v>
      </c>
      <c r="G20" s="5" t="s">
        <v>63</v>
      </c>
      <c r="H20" s="5" t="s">
        <v>65</v>
      </c>
      <c r="I20" s="5" t="s">
        <v>55</v>
      </c>
      <c r="J20" s="5" t="s">
        <v>29</v>
      </c>
      <c r="K20" s="2">
        <f t="shared" si="0"/>
        <v>0.24383561643835616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3" customFormat="1" x14ac:dyDescent="0.35">
      <c r="A21" s="5">
        <v>12</v>
      </c>
      <c r="B21" s="5">
        <v>9</v>
      </c>
      <c r="C21" s="5">
        <v>2021</v>
      </c>
      <c r="D21" s="5">
        <v>11</v>
      </c>
      <c r="E21" s="5">
        <v>2021</v>
      </c>
      <c r="F21" s="5" t="s">
        <v>16</v>
      </c>
      <c r="G21" s="5" t="s">
        <v>70</v>
      </c>
      <c r="H21" s="5" t="s">
        <v>17</v>
      </c>
      <c r="I21" s="5" t="s">
        <v>55</v>
      </c>
      <c r="J21" s="5" t="s">
        <v>30</v>
      </c>
      <c r="K21" s="2">
        <f t="shared" si="0"/>
        <v>0.24657534246575341</v>
      </c>
    </row>
    <row r="22" spans="1:23" s="4" customFormat="1" x14ac:dyDescent="0.35">
      <c r="A22" s="5">
        <v>13</v>
      </c>
      <c r="B22" s="5">
        <v>6</v>
      </c>
      <c r="C22" s="5">
        <v>2021</v>
      </c>
      <c r="D22" s="5">
        <v>8</v>
      </c>
      <c r="E22" s="5">
        <v>2021</v>
      </c>
      <c r="F22" s="5" t="s">
        <v>34</v>
      </c>
      <c r="G22" s="5" t="s">
        <v>69</v>
      </c>
      <c r="H22" s="5" t="s">
        <v>12</v>
      </c>
      <c r="I22" s="5" t="s">
        <v>55</v>
      </c>
      <c r="J22" s="5" t="s">
        <v>31</v>
      </c>
      <c r="K22" s="2">
        <f t="shared" si="0"/>
        <v>0.24931506849315069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3" customFormat="1" x14ac:dyDescent="0.35">
      <c r="A23" s="5">
        <v>14</v>
      </c>
      <c r="B23" s="5">
        <v>3</v>
      </c>
      <c r="C23" s="5">
        <v>2021</v>
      </c>
      <c r="D23" s="5">
        <v>5</v>
      </c>
      <c r="E23" s="5">
        <v>2021</v>
      </c>
      <c r="F23" s="5" t="s">
        <v>33</v>
      </c>
      <c r="G23" s="5" t="s">
        <v>68</v>
      </c>
      <c r="H23" s="5" t="s">
        <v>18</v>
      </c>
      <c r="I23" s="5" t="s">
        <v>55</v>
      </c>
      <c r="J23" s="5" t="s">
        <v>32</v>
      </c>
      <c r="K23" s="2">
        <f t="shared" si="0"/>
        <v>0.24931506849315069</v>
      </c>
    </row>
    <row r="24" spans="1:23" s="4" customFormat="1" x14ac:dyDescent="0.35">
      <c r="A24" s="5">
        <v>15</v>
      </c>
      <c r="B24" s="5">
        <v>8</v>
      </c>
      <c r="C24" s="5">
        <v>2020</v>
      </c>
      <c r="D24" s="5">
        <v>2</v>
      </c>
      <c r="E24" s="5">
        <v>2021</v>
      </c>
      <c r="F24" s="5" t="s">
        <v>35</v>
      </c>
      <c r="G24" s="5" t="s">
        <v>67</v>
      </c>
      <c r="H24" s="5" t="s">
        <v>66</v>
      </c>
      <c r="I24" s="5" t="s">
        <v>55</v>
      </c>
      <c r="J24" s="5" t="s">
        <v>36</v>
      </c>
      <c r="K24" s="2">
        <f t="shared" si="0"/>
        <v>0.57808219178082187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3" customFormat="1" x14ac:dyDescent="0.35">
      <c r="A25" s="5">
        <v>16</v>
      </c>
      <c r="B25" s="5">
        <v>5</v>
      </c>
      <c r="C25" s="5">
        <v>2020</v>
      </c>
      <c r="D25" s="5">
        <v>7</v>
      </c>
      <c r="E25" s="5">
        <v>2020</v>
      </c>
      <c r="F25" s="5" t="s">
        <v>37</v>
      </c>
      <c r="G25" s="5" t="s">
        <v>63</v>
      </c>
      <c r="H25" s="5" t="s">
        <v>65</v>
      </c>
      <c r="I25" s="5" t="s">
        <v>55</v>
      </c>
      <c r="J25" s="5" t="s">
        <v>38</v>
      </c>
      <c r="K25" s="2">
        <f t="shared" si="0"/>
        <v>0.24931506849315069</v>
      </c>
    </row>
    <row r="26" spans="1:23" s="3" customFormat="1" x14ac:dyDescent="0.35">
      <c r="A26" s="5">
        <v>17</v>
      </c>
      <c r="B26" s="5">
        <v>2</v>
      </c>
      <c r="C26" s="5">
        <v>2020</v>
      </c>
      <c r="D26" s="5">
        <v>4</v>
      </c>
      <c r="E26" s="5">
        <v>2020</v>
      </c>
      <c r="F26" s="5" t="s">
        <v>93</v>
      </c>
      <c r="G26" s="5" t="s">
        <v>78</v>
      </c>
      <c r="H26" s="5" t="s">
        <v>79</v>
      </c>
      <c r="I26" s="5" t="s">
        <v>94</v>
      </c>
      <c r="J26" s="5"/>
      <c r="K26" s="2">
        <f t="shared" si="0"/>
        <v>0.24383561643835616</v>
      </c>
    </row>
    <row r="27" spans="1:23" s="3" customFormat="1" x14ac:dyDescent="0.35">
      <c r="A27" s="5">
        <v>18</v>
      </c>
      <c r="B27" s="5">
        <v>11</v>
      </c>
      <c r="C27" s="5">
        <v>2019</v>
      </c>
      <c r="D27" s="5">
        <v>1</v>
      </c>
      <c r="E27" s="5">
        <v>2020</v>
      </c>
      <c r="F27" s="5" t="s">
        <v>39</v>
      </c>
      <c r="G27" s="5" t="s">
        <v>63</v>
      </c>
      <c r="H27" s="5" t="s">
        <v>64</v>
      </c>
      <c r="I27" s="5" t="s">
        <v>55</v>
      </c>
      <c r="J27" s="5" t="s">
        <v>40</v>
      </c>
      <c r="K27" s="2">
        <f t="shared" si="0"/>
        <v>0.24931506849315069</v>
      </c>
    </row>
    <row r="28" spans="1:23" s="3" customFormat="1" x14ac:dyDescent="0.35">
      <c r="A28" s="5">
        <v>19</v>
      </c>
      <c r="B28" s="5">
        <v>8</v>
      </c>
      <c r="C28" s="5">
        <v>2019</v>
      </c>
      <c r="D28" s="5">
        <v>10</v>
      </c>
      <c r="E28" s="5">
        <v>2019</v>
      </c>
      <c r="F28" s="5" t="s">
        <v>41</v>
      </c>
      <c r="G28" s="5" t="s">
        <v>63</v>
      </c>
      <c r="H28" s="5" t="s">
        <v>48</v>
      </c>
      <c r="I28" s="5" t="s">
        <v>55</v>
      </c>
      <c r="J28" s="5" t="s">
        <v>42</v>
      </c>
      <c r="K28" s="2">
        <f t="shared" si="0"/>
        <v>0.24931506849315069</v>
      </c>
    </row>
    <row r="29" spans="1:23" s="3" customFormat="1" x14ac:dyDescent="0.35">
      <c r="A29" s="5">
        <v>20</v>
      </c>
      <c r="B29" s="5">
        <v>5</v>
      </c>
      <c r="C29" s="5">
        <v>2019</v>
      </c>
      <c r="D29" s="5">
        <v>7</v>
      </c>
      <c r="E29" s="5">
        <v>2019</v>
      </c>
      <c r="F29" s="5" t="s">
        <v>62</v>
      </c>
      <c r="G29" s="5" t="s">
        <v>63</v>
      </c>
      <c r="H29" s="5" t="s">
        <v>97</v>
      </c>
      <c r="I29" s="5" t="s">
        <v>55</v>
      </c>
      <c r="J29" s="5" t="s">
        <v>43</v>
      </c>
      <c r="K29" s="2">
        <f t="shared" si="0"/>
        <v>0.24931506849315069</v>
      </c>
    </row>
    <row r="30" spans="1:23" s="3" customFormat="1" x14ac:dyDescent="0.35">
      <c r="A30" s="5">
        <v>21</v>
      </c>
      <c r="B30" s="5">
        <v>2</v>
      </c>
      <c r="C30" s="5">
        <v>2019</v>
      </c>
      <c r="D30" s="5">
        <v>4</v>
      </c>
      <c r="E30" s="5">
        <v>2019</v>
      </c>
      <c r="F30" s="5" t="s">
        <v>44</v>
      </c>
      <c r="G30" s="5" t="s">
        <v>63</v>
      </c>
      <c r="H30" s="5" t="s">
        <v>97</v>
      </c>
      <c r="I30" s="5" t="s">
        <v>55</v>
      </c>
      <c r="J30" s="5" t="s">
        <v>45</v>
      </c>
      <c r="K30" s="2">
        <f t="shared" si="0"/>
        <v>0.24109589041095891</v>
      </c>
    </row>
    <row r="31" spans="1:23" s="3" customFormat="1" x14ac:dyDescent="0.35">
      <c r="A31" s="5">
        <v>22</v>
      </c>
      <c r="B31" s="5">
        <v>11</v>
      </c>
      <c r="C31" s="5">
        <v>2018</v>
      </c>
      <c r="D31" s="5">
        <v>1</v>
      </c>
      <c r="E31" s="5">
        <v>2019</v>
      </c>
      <c r="F31" s="5" t="s">
        <v>46</v>
      </c>
      <c r="G31" s="5" t="s">
        <v>63</v>
      </c>
      <c r="H31" s="5" t="s">
        <v>97</v>
      </c>
      <c r="I31" s="5" t="s">
        <v>55</v>
      </c>
      <c r="J31" s="5" t="s">
        <v>47</v>
      </c>
      <c r="K31" s="2">
        <f t="shared" si="0"/>
        <v>0.24931506849315069</v>
      </c>
    </row>
    <row r="32" spans="1:23" s="3" customFormat="1" x14ac:dyDescent="0.35">
      <c r="A32" s="5">
        <v>23</v>
      </c>
      <c r="B32" s="5">
        <v>1</v>
      </c>
      <c r="C32" s="5">
        <v>2018</v>
      </c>
      <c r="D32" s="5">
        <v>10</v>
      </c>
      <c r="E32" s="5">
        <v>2018</v>
      </c>
      <c r="F32" s="5" t="s">
        <v>49</v>
      </c>
      <c r="G32" s="5" t="s">
        <v>60</v>
      </c>
      <c r="H32" s="5" t="s">
        <v>61</v>
      </c>
      <c r="I32" s="5" t="s">
        <v>50</v>
      </c>
      <c r="J32" s="5"/>
      <c r="K32" s="2">
        <f t="shared" si="0"/>
        <v>0.83013698630136989</v>
      </c>
    </row>
    <row r="33" spans="1:11" s="3" customFormat="1" x14ac:dyDescent="0.35">
      <c r="A33" s="5">
        <v>24</v>
      </c>
      <c r="B33" s="5">
        <v>1</v>
      </c>
      <c r="C33" s="5">
        <v>2017</v>
      </c>
      <c r="D33" s="5">
        <v>12</v>
      </c>
      <c r="E33" s="5">
        <v>2017</v>
      </c>
      <c r="F33" s="5" t="s">
        <v>51</v>
      </c>
      <c r="G33" s="5" t="s">
        <v>60</v>
      </c>
      <c r="H33" s="5" t="s">
        <v>59</v>
      </c>
      <c r="I33" s="5" t="s">
        <v>54</v>
      </c>
      <c r="J33" s="5"/>
      <c r="K33" s="2">
        <f t="shared" si="0"/>
        <v>0.99726027397260275</v>
      </c>
    </row>
    <row r="34" spans="1:11" s="3" customFormat="1" x14ac:dyDescent="0.35">
      <c r="A34" s="5">
        <v>25</v>
      </c>
      <c r="B34" s="5">
        <v>9</v>
      </c>
      <c r="C34" s="5">
        <v>2016</v>
      </c>
      <c r="D34" s="5">
        <v>12</v>
      </c>
      <c r="E34" s="5">
        <v>2016</v>
      </c>
      <c r="F34" s="5" t="s">
        <v>52</v>
      </c>
      <c r="G34" s="5" t="s">
        <v>60</v>
      </c>
      <c r="H34" s="5" t="s">
        <v>58</v>
      </c>
      <c r="I34" s="5" t="s">
        <v>53</v>
      </c>
      <c r="J34" s="5"/>
      <c r="K34" s="2">
        <f t="shared" si="0"/>
        <v>0.33150684931506852</v>
      </c>
    </row>
  </sheetData>
  <mergeCells count="21">
    <mergeCell ref="C2:K2"/>
    <mergeCell ref="A3:B3"/>
    <mergeCell ref="C3:K3"/>
    <mergeCell ref="A4:B4"/>
    <mergeCell ref="C4:K4"/>
    <mergeCell ref="A1:K1"/>
    <mergeCell ref="J7:J9"/>
    <mergeCell ref="K7:K9"/>
    <mergeCell ref="B8:C8"/>
    <mergeCell ref="D8:E8"/>
    <mergeCell ref="A5:B5"/>
    <mergeCell ref="C5:K5"/>
    <mergeCell ref="A6:B6"/>
    <mergeCell ref="C6:K6"/>
    <mergeCell ref="A7:A9"/>
    <mergeCell ref="B7:E7"/>
    <mergeCell ref="F7:F9"/>
    <mergeCell ref="G7:G9"/>
    <mergeCell ref="H7:H9"/>
    <mergeCell ref="I7:I9"/>
    <mergeCell ref="A2:B2"/>
  </mergeCells>
  <dataValidations count="2">
    <dataValidation type="whole" allowBlank="1" showInputMessage="1" showErrorMessage="1" sqref="E10:E34 C10:C34" xr:uid="{D6D4FE10-59D6-468B-9039-1437CFFB28B9}">
      <formula1>1900</formula1>
      <formula2>2050</formula2>
    </dataValidation>
    <dataValidation type="list" allowBlank="1" showInputMessage="1" showErrorMessage="1" sqref="B10:B34 D10:D34" xr:uid="{FAB7A2B7-130C-4289-8D8D-3CD853C9B94A}">
      <formula1>$C$129:$C$140</formula1>
    </dataValidation>
  </dataValidations>
  <hyperlinks>
    <hyperlink ref="J13" r:id="rId1" xr:uid="{63D7251F-D27F-4E92-84B9-74AB7153D9FE}"/>
    <hyperlink ref="J14" r:id="rId2" xr:uid="{4D83FEFD-A3D5-4231-8FD4-3C0B85D1A27F}"/>
    <hyperlink ref="J16" r:id="rId3" xr:uid="{FEF35235-811F-4187-83B9-0DA8C9743713}"/>
    <hyperlink ref="J17" r:id="rId4" xr:uid="{22D65C23-73EA-40A4-B325-21F6D82ACB8B}"/>
    <hyperlink ref="J19" r:id="rId5" xr:uid="{0F57508C-E3B8-481E-91E9-0C9FF0442100}"/>
    <hyperlink ref="J20" r:id="rId6" xr:uid="{463FEE7D-969E-4403-B447-85B4143CF221}"/>
    <hyperlink ref="J21" r:id="rId7" xr:uid="{559D1E67-0025-40F0-BB18-9253F7BF362C}"/>
    <hyperlink ref="J22" r:id="rId8" xr:uid="{AA5CDBD6-B8D6-4F0B-8E37-0A974DF81728}"/>
    <hyperlink ref="J23" r:id="rId9" xr:uid="{58C72D56-EB46-418A-A7CD-F47152C8A8B4}"/>
    <hyperlink ref="J24" r:id="rId10" xr:uid="{8E38B65E-F357-4E87-9F93-46A1300C1FFB}"/>
    <hyperlink ref="J25" r:id="rId11" xr:uid="{EDCB8451-DAD4-441A-B100-9EADBD71476E}"/>
    <hyperlink ref="J27" r:id="rId12" xr:uid="{BC4D7AE7-9BB4-42D2-A33E-EEB433CF564D}"/>
    <hyperlink ref="J28" r:id="rId13" xr:uid="{8C1F189C-66D8-413E-AEED-54AA915FAA24}"/>
    <hyperlink ref="J29" r:id="rId14" xr:uid="{7EF8524B-DB46-4D1C-9879-5ED2F5CB3A67}"/>
    <hyperlink ref="J30" r:id="rId15" xr:uid="{D9759BC0-901C-456C-913A-C0E44FD90248}"/>
    <hyperlink ref="J31" r:id="rId16" xr:uid="{CCE39850-70E1-4E35-93DD-8DB1575D00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Troncoso</dc:creator>
  <cp:lastModifiedBy>Claudia Armijo Cortés</cp:lastModifiedBy>
  <dcterms:created xsi:type="dcterms:W3CDTF">2017-02-12T20:48:36Z</dcterms:created>
  <dcterms:modified xsi:type="dcterms:W3CDTF">2025-08-21T17:22:31Z</dcterms:modified>
</cp:coreProperties>
</file>
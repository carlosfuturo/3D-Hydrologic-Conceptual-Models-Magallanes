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UEPR\Licitaciones 2025\95.- 889-12-LR25 Analisis RRHH Región de Magallanes\00.- En Trabajo\CAC\Anexos CAC\"/>
    </mc:Choice>
  </mc:AlternateContent>
  <xr:revisionPtr revIDLastSave="0" documentId="13_ncr:1_{27DD5E72-BC40-4213-8C4E-0D99AC957F8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Horas comprometidas activdad" sheetId="4" r:id="rId1"/>
    <sheet name="Horas comprometidas profesional" sheetId="6" r:id="rId2"/>
  </sheets>
  <definedNames>
    <definedName name="_xlnm.Print_Area" localSheetId="0">'Horas comprometidas activdad'!$A$1:$AB$121</definedName>
    <definedName name="_xlnm.Print_Area" localSheetId="1">'Horas comprometidas profesional'!$A$1:$U$89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8" i="4" l="1"/>
  <c r="AA43" i="4"/>
  <c r="AA32" i="4"/>
  <c r="AA23" i="4"/>
  <c r="AA13" i="4"/>
  <c r="G39" i="4"/>
  <c r="H39" i="4"/>
  <c r="I39" i="4"/>
  <c r="J39" i="4"/>
  <c r="F39" i="4"/>
  <c r="I33" i="4"/>
  <c r="J33" i="4"/>
  <c r="G33" i="4"/>
  <c r="H33" i="4"/>
  <c r="F33" i="4"/>
  <c r="G24" i="4"/>
  <c r="H24" i="4"/>
  <c r="I24" i="4"/>
  <c r="J24" i="4"/>
  <c r="F24" i="4"/>
  <c r="G14" i="4"/>
  <c r="H14" i="4"/>
  <c r="I14" i="4"/>
  <c r="J14" i="4"/>
  <c r="F14" i="4"/>
  <c r="G9" i="4"/>
  <c r="H9" i="4"/>
  <c r="I9" i="4"/>
  <c r="J9" i="4"/>
  <c r="F9" i="4"/>
  <c r="J40" i="4"/>
  <c r="F40" i="4"/>
  <c r="F20" i="4"/>
  <c r="I11" i="4"/>
  <c r="B23" i="4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C3" i="6" l="1"/>
  <c r="AA15" i="4"/>
  <c r="AA16" i="4"/>
  <c r="AA17" i="4"/>
  <c r="AA18" i="4"/>
  <c r="AA19" i="4"/>
  <c r="AA20" i="4"/>
  <c r="AA21" i="4"/>
  <c r="AA22" i="4"/>
  <c r="AA25" i="4"/>
  <c r="AA26" i="4"/>
  <c r="AA27" i="4"/>
  <c r="AA28" i="4"/>
  <c r="AA29" i="4"/>
  <c r="AA30" i="4"/>
  <c r="AA31" i="4"/>
  <c r="AA34" i="4"/>
  <c r="AA35" i="4"/>
  <c r="AA36" i="4"/>
  <c r="AA37" i="4"/>
  <c r="AA41" i="4"/>
  <c r="AA42" i="4"/>
  <c r="AA44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45" i="4"/>
  <c r="B10" i="4"/>
  <c r="B11" i="4" s="1"/>
  <c r="B12" i="4" s="1"/>
  <c r="B14" i="4" s="1"/>
  <c r="B15" i="4" s="1"/>
  <c r="B16" i="4" s="1"/>
  <c r="B17" i="4" s="1"/>
  <c r="B18" i="4" s="1"/>
  <c r="B19" i="4" s="1"/>
  <c r="B20" i="4" s="1"/>
  <c r="B21" i="4" s="1"/>
  <c r="B22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D4" i="4"/>
  <c r="C4" i="6" s="1"/>
  <c r="C2" i="6"/>
  <c r="N122" i="4" l="1"/>
  <c r="AA24" i="4"/>
  <c r="AA40" i="4"/>
  <c r="AA9" i="4"/>
  <c r="AA33" i="4"/>
  <c r="AA39" i="4"/>
  <c r="F122" i="4"/>
  <c r="E9" i="6" s="1"/>
  <c r="G9" i="6" s="1"/>
  <c r="F29" i="6"/>
  <c r="G28" i="6"/>
  <c r="G27" i="6"/>
  <c r="G26" i="6"/>
  <c r="G25" i="6"/>
  <c r="G24" i="6"/>
  <c r="G23" i="6"/>
  <c r="G20" i="6"/>
  <c r="G19" i="6"/>
  <c r="G18" i="6"/>
  <c r="I122" i="4"/>
  <c r="E12" i="6" s="1"/>
  <c r="G12" i="6" s="1"/>
  <c r="Q122" i="4"/>
  <c r="Y122" i="4" l="1"/>
  <c r="W122" i="4"/>
  <c r="P122" i="4"/>
  <c r="G122" i="4"/>
  <c r="E10" i="6" s="1"/>
  <c r="G10" i="6" s="1"/>
  <c r="O122" i="4"/>
  <c r="H122" i="4"/>
  <c r="E11" i="6" s="1"/>
  <c r="G11" i="6" s="1"/>
  <c r="X122" i="4"/>
  <c r="T122" i="4"/>
  <c r="L122" i="4"/>
  <c r="S122" i="4"/>
  <c r="K122" i="4"/>
  <c r="R122" i="4"/>
  <c r="J122" i="4"/>
  <c r="E13" i="6" s="1"/>
  <c r="G13" i="6" s="1"/>
  <c r="V122" i="4"/>
  <c r="U122" i="4"/>
  <c r="M122" i="4"/>
  <c r="AA10" i="4"/>
  <c r="AA11" i="4"/>
  <c r="AA12" i="4"/>
  <c r="AA14" i="4" l="1"/>
  <c r="G15" i="6" l="1"/>
  <c r="G14" i="6"/>
  <c r="G17" i="6"/>
  <c r="G16" i="6"/>
  <c r="G29" i="6" l="1"/>
</calcChain>
</file>

<file path=xl/sharedStrings.xml><?xml version="1.0" encoding="utf-8"?>
<sst xmlns="http://schemas.openxmlformats.org/spreadsheetml/2006/main" count="110" uniqueCount="86">
  <si>
    <t>Nº</t>
  </si>
  <si>
    <t>Actividad/Sub-actividad</t>
  </si>
  <si>
    <t>Proyecto:</t>
  </si>
  <si>
    <t>Fecha:</t>
  </si>
  <si>
    <t>Oferente:</t>
  </si>
  <si>
    <t>Profesional</t>
  </si>
  <si>
    <t>Total</t>
  </si>
  <si>
    <t>Total hh</t>
  </si>
  <si>
    <t>Profesionales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</si>
  <si>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</si>
  <si>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</si>
  <si>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</si>
  <si>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</si>
  <si>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</si>
  <si>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</si>
  <si>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</si>
  <si>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</si>
  <si>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</si>
  <si>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</si>
  <si>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</si>
  <si>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</si>
  <si>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</si>
  <si>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</si>
  <si>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</si>
  <si>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Cargo</t>
  </si>
  <si>
    <t>Total hh Comprometidas</t>
  </si>
  <si>
    <t>Este estudio</t>
  </si>
  <si>
    <t>Otros Proyectos</t>
  </si>
  <si>
    <t>Observaciones</t>
  </si>
  <si>
    <t>P16</t>
  </si>
  <si>
    <t>P17</t>
  </si>
  <si>
    <t>P18</t>
  </si>
  <si>
    <t>P19</t>
  </si>
  <si>
    <t>P20</t>
  </si>
  <si>
    <t>Total hh por</t>
  </si>
  <si>
    <t>Actividad /Subactividad</t>
  </si>
  <si>
    <t>Nombre</t>
  </si>
  <si>
    <t>Horas Comprometidas por Actividad</t>
  </si>
  <si>
    <t>Horas Comprometidas por Profesional</t>
  </si>
  <si>
    <t>ANÁLISIS DE RECURSOS HÍDRICOS EN CUENCAS DE LA REGIÓN DE MAGALLANES Y DE LA ANTÁRTICA CHILENA</t>
  </si>
  <si>
    <t>IDIEM, UNIVERSIDAD DE CHILE</t>
  </si>
  <si>
    <t>1. Recopilación de Antecedentes</t>
  </si>
  <si>
    <t>1.1 Levantamiento y sistematización de información física ecosistémica y social mediante fichas resumen.</t>
  </si>
  <si>
    <t>1.2 Modelo Conceptual Preliminar</t>
  </si>
  <si>
    <t>1.3 Elaboración de Informe de Avance 1</t>
  </si>
  <si>
    <t>2. Campañas de prospección</t>
  </si>
  <si>
    <t>2.1 Planificación de campañas de prospección</t>
  </si>
  <si>
    <t>2.2 Realización de aforos</t>
  </si>
  <si>
    <t>2.3 Realización de Pruebas de bombeo</t>
  </si>
  <si>
    <t>2.4 Toma de muestras de calidad de aguas e isotopía</t>
  </si>
  <si>
    <t>2.5 Visitas de inspección a obras de infraestructura</t>
  </si>
  <si>
    <t>2.6 Visita para validar modelo conceptual (6)</t>
  </si>
  <si>
    <t>2.7 Geofísica (350 TEM + 260 gravimetría)</t>
  </si>
  <si>
    <t>2.8 Elaboración de Informe de Avance 2</t>
  </si>
  <si>
    <t>3. Procesamiento y análisis crítico de la información</t>
  </si>
  <si>
    <t>3.1 Elaboración de Caracterización física, social y ecosistémica</t>
  </si>
  <si>
    <t>3.2 Elaboración de diagramas unifilares de la red la red hidrográfica y canales</t>
  </si>
  <si>
    <t>3.3 Diagnosticar el estado actual de las cuencas de estudio</t>
  </si>
  <si>
    <t>3.4 Calcular la Oferta y Demanda de agua en las cuencas de estudio</t>
  </si>
  <si>
    <t>3.5 Calcular el Balance hídrico en las cuencas de Estudio.</t>
  </si>
  <si>
    <t>3.6 Sistematización y análisis de la Información de Derechos de Aprovechamiento de Aguas</t>
  </si>
  <si>
    <t>3.7 Elaboración de Informe de Avance 3</t>
  </si>
  <si>
    <t>4. Construcción de modelos hidrológicos</t>
  </si>
  <si>
    <t>5 Conclusiones e informes de resultados</t>
  </si>
  <si>
    <t>Especialista en Recursos Hídricos</t>
  </si>
  <si>
    <t>Especialista SIG</t>
  </si>
  <si>
    <t>Especialista en Hidrogeología</t>
  </si>
  <si>
    <t>Iván Fuentes</t>
  </si>
  <si>
    <t>Carolina Guzmán</t>
  </si>
  <si>
    <t>Marcelo Olivares</t>
  </si>
  <si>
    <t xml:space="preserve">Norberto Werner </t>
  </si>
  <si>
    <t>Carlos Leon</t>
  </si>
  <si>
    <t>4.4 Construir una base de datos de la información input de los modelos</t>
  </si>
  <si>
    <t>4.2 Construir un Modelo hidrológico conceptual</t>
  </si>
  <si>
    <t>4.3 Construir un modelo hidrológico numérico</t>
  </si>
  <si>
    <t>4.4 Elaboración de Informe de Avance 4</t>
  </si>
  <si>
    <t>5.1 Elaborar un set de recomendaciones y mejoras para aumentar la seguridad hídrica</t>
  </si>
  <si>
    <t>5.2 Elaboración de cartografía mediante un Sistema de Información Geográfico (SIG)</t>
  </si>
  <si>
    <t>5.3 Elaboración de informes finales de resultados</t>
  </si>
  <si>
    <t>1.4 Actividad Difusión Etapa 1</t>
  </si>
  <si>
    <t>2.9 Actividad Difusión Etapa 2</t>
  </si>
  <si>
    <t>3 8 Actividad Difusión Etapa 3</t>
  </si>
  <si>
    <t>4.5 Actividad Difusión Etapa 4</t>
  </si>
  <si>
    <t>5.4 Actividad Difusión Etapa 5</t>
  </si>
  <si>
    <t>Jefe de Proyecto</t>
  </si>
  <si>
    <t>Especialista en Modelación de Recursos Hídricos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</si>
</sst>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 applyProtection="1"/>
    <xf numFmtId="0" fontId="1" fillId="2" borderId="0" xfId="0" applyFont="1" applyFill="1" applyAlignment="1" applyProtection="1">
      <alignment horizontal="left"/>
    </xf>
    <xf numFmtId="0" fontId="2" fillId="2" borderId="0" xfId="0" applyFont="1" applyFill="1" applyProtection="1"/>
    <xf numFmtId="0" fontId="0" fillId="0" borderId="0" xfId="0" applyProtection="1"/>
    <xf numFmtId="0" fontId="7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left"/>
    </xf>
    <xf numFmtId="0" fontId="0" fillId="2" borderId="6" xfId="0" applyFont="1" applyFill="1" applyBorder="1" applyAlignment="1" applyProtection="1">
      <alignment horizontal="center" vertical="center"/>
    </xf>
    <xf numFmtId="0" fontId="0" fillId="2" borderId="4" xfId="0" applyFont="1" applyFill="1" applyBorder="1" applyAlignment="1" applyProtection="1">
      <alignment horizontal="center" vertical="center"/>
    </xf>
    <xf numFmtId="0" fontId="0" fillId="2" borderId="5" xfId="0" applyFont="1" applyFill="1" applyBorder="1" applyAlignment="1" applyProtection="1">
      <alignment horizontal="center" vertical="center"/>
    </xf>
    <xf numFmtId="0" fontId="0" fillId="2" borderId="0" xfId="0" applyFont="1" applyFill="1" applyProtection="1"/>
    <xf numFmtId="0" fontId="0" fillId="2" borderId="9" xfId="0" applyFont="1" applyFill="1" applyBorder="1" applyProtection="1"/>
    <xf numFmtId="0" fontId="0" fillId="2" borderId="7" xfId="0" applyFont="1" applyFill="1" applyBorder="1" applyProtection="1"/>
    <xf numFmtId="0" fontId="0" fillId="2" borderId="8" xfId="0" applyFont="1" applyFill="1" applyBorder="1" applyProtection="1"/>
    <xf numFmtId="0" fontId="6" fillId="2" borderId="3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left" vertical="center"/>
    </xf>
    <xf numFmtId="0" fontId="6" fillId="2" borderId="0" xfId="0" applyFont="1" applyFill="1" applyBorder="1" applyAlignment="1" applyProtection="1"/>
    <xf numFmtId="0" fontId="6" fillId="2" borderId="0" xfId="0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/>
    </xf>
    <xf numFmtId="0" fontId="6" fillId="2" borderId="9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0" fillId="2" borderId="0" xfId="0" applyFill="1" applyAlignment="1" applyProtection="1">
      <alignment vertical="center"/>
    </xf>
    <xf numFmtId="0" fontId="8" fillId="0" borderId="3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</xf>
    <xf numFmtId="0" fontId="8" fillId="0" borderId="3" xfId="0" applyFont="1" applyFill="1" applyBorder="1" applyAlignment="1" applyProtection="1">
      <alignment horizontal="center" vertical="center"/>
    </xf>
    <xf numFmtId="0" fontId="8" fillId="0" borderId="3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9" fillId="2" borderId="1" xfId="0" applyFont="1" applyFill="1" applyBorder="1" applyAlignment="1" applyProtection="1">
      <alignment horizontal="center" vertical="center"/>
    </xf>
    <xf numFmtId="0" fontId="9" fillId="2" borderId="2" xfId="0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vertical="center"/>
    </xf>
    <xf numFmtId="0" fontId="0" fillId="2" borderId="6" xfId="0" applyFill="1" applyBorder="1" applyAlignment="1" applyProtection="1">
      <alignment horizontal="center" vertical="center"/>
    </xf>
    <xf numFmtId="0" fontId="0" fillId="2" borderId="9" xfId="0" applyFill="1" applyBorder="1" applyAlignment="1" applyProtection="1">
      <alignment vertical="center"/>
    </xf>
    <xf numFmtId="0" fontId="2" fillId="0" borderId="3" xfId="0" applyFont="1" applyFill="1" applyBorder="1" applyAlignment="1" applyProtection="1">
      <alignment horizontal="left" vertical="center" wrapText="1"/>
      <protection locked="0"/>
    </xf>
    <xf numFmtId="0" fontId="2" fillId="0" borderId="3" xfId="0" applyFont="1" applyFill="1" applyBorder="1" applyAlignment="1" applyProtection="1">
      <alignment horizontal="left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</xf>
    <xf numFmtId="0" fontId="0" fillId="2" borderId="9" xfId="0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  <protection locked="0"/>
    </xf>
    <xf numFmtId="14" fontId="2" fillId="0" borderId="1" xfId="0" applyNumberFormat="1" applyFont="1" applyFill="1" applyBorder="1" applyAlignment="1" applyProtection="1">
      <alignment horizontal="left"/>
      <protection locked="0"/>
    </xf>
    <xf numFmtId="14" fontId="2" fillId="0" borderId="3" xfId="0" applyNumberFormat="1" applyFont="1" applyFill="1" applyBorder="1" applyAlignment="1" applyProtection="1">
      <alignment horizontal="left"/>
      <protection locked="0"/>
    </xf>
    <xf numFmtId="164" fontId="8" fillId="2" borderId="0" xfId="0" applyNumberFormat="1" applyFont="1" applyFill="1" applyBorder="1" applyAlignment="1" applyProtection="1">
      <alignment horizontal="center" vertical="center"/>
    </xf>
    <xf numFmtId="1" fontId="0" fillId="2" borderId="0" xfId="0" applyNumberFormat="1" applyFill="1" applyAlignment="1" applyProtection="1">
      <alignment vertical="center"/>
    </xf>
    <xf numFmtId="0" fontId="6" fillId="2" borderId="1" xfId="0" applyFont="1" applyFill="1" applyBorder="1" applyAlignment="1" applyProtection="1">
      <alignment horizontal="center"/>
    </xf>
    <xf numFmtId="0" fontId="6" fillId="2" borderId="10" xfId="0" applyFont="1" applyFill="1" applyBorder="1" applyAlignment="1" applyProtection="1">
      <alignment horizontal="center"/>
    </xf>
    <xf numFmtId="0" fontId="6" fillId="2" borderId="2" xfId="0" applyFont="1" applyFill="1" applyBorder="1" applyAlignment="1" applyProtection="1">
      <alignment horizont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5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fgColor auto="1"/>
          <bgColor theme="9" tint="0.39994506668294322"/>
        </patternFill>
      </fill>
    </dxf>
    <dxf>
      <font>
        <color theme="9" tint="0.39994506668294322"/>
      </font>
    </dxf>
    <dxf>
      <font>
        <b val="0"/>
        <i val="0"/>
      </font>
      <fill>
        <patternFill patternType="solid">
          <fgColor auto="1"/>
          <bgColor theme="9" tint="0.39994506668294322"/>
        </patternFill>
      </fill>
    </dxf>
    <dxf>
      <font>
        <b/>
        <i val="0"/>
      </font>
      <fill>
        <patternFill patternType="solid">
          <fgColor auto="1"/>
          <bgColor theme="9" tint="0.39994506668294322"/>
        </patternFill>
      </fill>
    </dxf>
  </dxfs>
  <tableStyles count="0" defaultTableStyle="TableStyleMedium2" defaultPivotStyle="PivotStyleLight16"/>
  <colors>
    <mruColors>
      <color rgb="FFE26B00"/>
      <color rgb="FFB57600"/>
      <color rgb="FFB85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23"/>
  <sheetViews>
    <sheetView showGridLines="0" workbookViewId="0">
      <pane xSplit="4" ySplit="7" topLeftCell="E41" activePane="bottomRight" state="frozenSplit"/>
      <selection activeCell="P28" sqref="P28"/>
      <selection pane="topRight" activeCell="P28" sqref="P28"/>
      <selection pane="bottomLeft" activeCell="P28" sqref="P28"/>
      <selection pane="bottomRight" activeCell="H39" sqref="H39"/>
    </sheetView>
  </sheetViews>
  <sheetFormatPr baseColWidth="10" defaultColWidth="11.453125" defaultRowHeight="14.5" x14ac:dyDescent="0.35"/>
  <cols>
    <col min="1" max="1" width="1.6328125" style="4" customWidth="1"/>
    <col min="2" max="2" width="6.453125" style="4" customWidth="1"/>
    <col min="3" max="3" width="4.453125" style="4" customWidth="1"/>
    <col min="4" max="4" width="73.453125" style="4" customWidth="1"/>
    <col min="5" max="5" width="1.453125" style="4" customWidth="1"/>
    <col min="6" max="25" width="7.1796875" style="4" customWidth="1"/>
    <col min="26" max="26" width="1.453125" style="4" customWidth="1"/>
    <col min="27" max="27" width="22.1796875" style="4" bestFit="1" customWidth="1"/>
    <col min="28" max="28" width="1.453125" style="4" customWidth="1"/>
    <col min="29" max="29" width="52.81640625" style="4" customWidth="1"/>
    <col min="30" max="30" width="1.453125" style="4" customWidth="1"/>
    <col min="31" max="16384" width="11.453125" style="4"/>
  </cols>
  <sheetData>
    <row r="1" spans="1:30" ht="21" x14ac:dyDescent="0.5">
      <c r="A1" s="1"/>
      <c r="B1" s="2" t="s">
        <v>37</v>
      </c>
      <c r="C1" s="2"/>
      <c r="D1" s="3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38.25" customHeight="1" x14ac:dyDescent="0.35">
      <c r="A2" s="1"/>
      <c r="B2" s="16" t="s">
        <v>2</v>
      </c>
      <c r="C2" s="17"/>
      <c r="D2" s="22" t="s">
        <v>39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21" x14ac:dyDescent="0.5">
      <c r="A3" s="1"/>
      <c r="B3" s="5" t="s">
        <v>4</v>
      </c>
      <c r="C3" s="2"/>
      <c r="D3" s="23" t="s">
        <v>40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21" customHeight="1" x14ac:dyDescent="0.5">
      <c r="A4" s="1"/>
      <c r="B4" s="5" t="s">
        <v>3</v>
      </c>
      <c r="C4" s="2"/>
      <c r="D4" s="48">
        <f ca="1">+TODAY()</f>
        <v>45889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7.5" customHeight="1" x14ac:dyDescent="0.5">
      <c r="A5" s="1"/>
      <c r="B5" s="7"/>
      <c r="C5" s="2"/>
      <c r="D5" s="3"/>
      <c r="E5" s="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35">
      <c r="A6" s="1"/>
      <c r="B6" s="8" t="s">
        <v>0</v>
      </c>
      <c r="C6" s="9"/>
      <c r="D6" s="10" t="s">
        <v>1</v>
      </c>
      <c r="E6" s="11"/>
      <c r="F6" s="52" t="s">
        <v>8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4"/>
      <c r="Z6" s="18"/>
      <c r="AA6" s="20" t="s">
        <v>34</v>
      </c>
      <c r="AB6" s="6"/>
      <c r="AC6" s="40" t="s">
        <v>28</v>
      </c>
      <c r="AD6" s="27"/>
    </row>
    <row r="7" spans="1:30" ht="15" customHeight="1" x14ac:dyDescent="0.35">
      <c r="A7" s="1"/>
      <c r="B7" s="12"/>
      <c r="C7" s="13"/>
      <c r="D7" s="14"/>
      <c r="E7" s="11"/>
      <c r="F7" s="15" t="s">
        <v>9</v>
      </c>
      <c r="G7" s="15" t="s">
        <v>10</v>
      </c>
      <c r="H7" s="15" t="s">
        <v>11</v>
      </c>
      <c r="I7" s="15" t="s">
        <v>12</v>
      </c>
      <c r="J7" s="15" t="s">
        <v>13</v>
      </c>
      <c r="K7" s="15" t="s">
        <v>14</v>
      </c>
      <c r="L7" s="15" t="s">
        <v>15</v>
      </c>
      <c r="M7" s="15" t="s">
        <v>16</v>
      </c>
      <c r="N7" s="15" t="s">
        <v>17</v>
      </c>
      <c r="O7" s="15" t="s">
        <v>18</v>
      </c>
      <c r="P7" s="15" t="s">
        <v>19</v>
      </c>
      <c r="Q7" s="15" t="s">
        <v>20</v>
      </c>
      <c r="R7" s="15" t="s">
        <v>21</v>
      </c>
      <c r="S7" s="15" t="s">
        <v>22</v>
      </c>
      <c r="T7" s="15" t="s">
        <v>23</v>
      </c>
      <c r="U7" s="15" t="s">
        <v>29</v>
      </c>
      <c r="V7" s="15" t="s">
        <v>30</v>
      </c>
      <c r="W7" s="15" t="s">
        <v>31</v>
      </c>
      <c r="X7" s="15" t="s">
        <v>32</v>
      </c>
      <c r="Y7" s="15" t="s">
        <v>33</v>
      </c>
      <c r="Z7" s="19"/>
      <c r="AA7" s="21" t="s">
        <v>35</v>
      </c>
      <c r="AB7" s="6"/>
      <c r="AC7" s="41"/>
      <c r="AD7" s="1"/>
    </row>
    <row r="8" spans="1:30" ht="7.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6"/>
      <c r="AC8" s="27"/>
      <c r="AD8" s="29"/>
    </row>
    <row r="9" spans="1:30" x14ac:dyDescent="0.35">
      <c r="A9" s="1"/>
      <c r="B9" s="24">
        <v>1</v>
      </c>
      <c r="C9" s="25" t="s">
        <v>41</v>
      </c>
      <c r="D9" s="26"/>
      <c r="E9" s="27"/>
      <c r="F9" s="28">
        <f>SUM(F10:F13)</f>
        <v>76</v>
      </c>
      <c r="G9" s="28">
        <f t="shared" ref="G9:J9" si="0">SUM(G10:G13)</f>
        <v>60</v>
      </c>
      <c r="H9" s="28">
        <f t="shared" si="0"/>
        <v>24</v>
      </c>
      <c r="I9" s="28">
        <f t="shared" si="0"/>
        <v>44</v>
      </c>
      <c r="J9" s="28">
        <f t="shared" si="0"/>
        <v>60</v>
      </c>
      <c r="K9" s="28">
        <f t="shared" ref="K9:Z9" si="1">SUM(K10:K12)</f>
        <v>0</v>
      </c>
      <c r="L9" s="28">
        <f t="shared" si="1"/>
        <v>0</v>
      </c>
      <c r="M9" s="28">
        <f t="shared" si="1"/>
        <v>0</v>
      </c>
      <c r="N9" s="28">
        <f t="shared" si="1"/>
        <v>0</v>
      </c>
      <c r="O9" s="28">
        <f t="shared" si="1"/>
        <v>0</v>
      </c>
      <c r="P9" s="28">
        <f t="shared" si="1"/>
        <v>0</v>
      </c>
      <c r="Q9" s="28">
        <f t="shared" si="1"/>
        <v>0</v>
      </c>
      <c r="R9" s="28">
        <f t="shared" si="1"/>
        <v>0</v>
      </c>
      <c r="S9" s="28">
        <f t="shared" si="1"/>
        <v>0</v>
      </c>
      <c r="T9" s="28">
        <f t="shared" si="1"/>
        <v>0</v>
      </c>
      <c r="U9" s="28">
        <f t="shared" si="1"/>
        <v>0</v>
      </c>
      <c r="V9" s="28">
        <f t="shared" si="1"/>
        <v>0</v>
      </c>
      <c r="W9" s="28">
        <f t="shared" si="1"/>
        <v>0</v>
      </c>
      <c r="X9" s="28">
        <f t="shared" si="1"/>
        <v>0</v>
      </c>
      <c r="Y9" s="28">
        <f t="shared" si="1"/>
        <v>0</v>
      </c>
      <c r="Z9" s="28">
        <f t="shared" si="1"/>
        <v>0</v>
      </c>
      <c r="AA9" s="30">
        <f>IF(OR(C9&lt;&gt;"",D9&lt;&gt;""),SUM(F9:Y9),"")</f>
        <v>264</v>
      </c>
      <c r="AB9" s="29"/>
      <c r="AC9" s="44"/>
      <c r="AD9" s="27"/>
    </row>
    <row r="10" spans="1:30" x14ac:dyDescent="0.35">
      <c r="A10" s="1"/>
      <c r="B10" s="24">
        <f>+B9+1</f>
        <v>2</v>
      </c>
      <c r="C10" s="25"/>
      <c r="D10" s="26" t="s">
        <v>42</v>
      </c>
      <c r="E10" s="27"/>
      <c r="F10" s="28">
        <v>16</v>
      </c>
      <c r="G10" s="28">
        <v>16</v>
      </c>
      <c r="H10" s="28">
        <v>0</v>
      </c>
      <c r="I10" s="28">
        <v>8</v>
      </c>
      <c r="J10" s="28">
        <v>16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/>
      <c r="AA10" s="30">
        <f t="shared" ref="AA10:AA52" si="2">IF(OR(C10&lt;&gt;"",D10&lt;&gt;""),SUM(F10:Y10),"")</f>
        <v>56</v>
      </c>
      <c r="AB10" s="29"/>
      <c r="AC10" s="44"/>
      <c r="AD10" s="1"/>
    </row>
    <row r="11" spans="1:30" x14ac:dyDescent="0.35">
      <c r="A11" s="1"/>
      <c r="B11" s="24">
        <f t="shared" ref="B11:B77" si="3">+B10+1</f>
        <v>3</v>
      </c>
      <c r="C11" s="32"/>
      <c r="D11" s="26" t="s">
        <v>43</v>
      </c>
      <c r="E11" s="27"/>
      <c r="F11" s="28">
        <v>16</v>
      </c>
      <c r="G11" s="28">
        <v>16</v>
      </c>
      <c r="H11" s="28">
        <v>8</v>
      </c>
      <c r="I11" s="28">
        <f t="shared" ref="I11" si="4">2*4*1*1</f>
        <v>8</v>
      </c>
      <c r="J11" s="28">
        <v>16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9"/>
      <c r="AA11" s="30">
        <f t="shared" si="2"/>
        <v>64</v>
      </c>
      <c r="AB11" s="29"/>
      <c r="AC11" s="44"/>
      <c r="AD11" s="29"/>
    </row>
    <row r="12" spans="1:30" x14ac:dyDescent="0.35">
      <c r="A12" s="1"/>
      <c r="B12" s="24">
        <f t="shared" si="3"/>
        <v>4</v>
      </c>
      <c r="C12" s="32"/>
      <c r="D12" s="26" t="s">
        <v>44</v>
      </c>
      <c r="E12" s="27"/>
      <c r="F12" s="28">
        <v>32</v>
      </c>
      <c r="G12" s="28">
        <v>16</v>
      </c>
      <c r="H12" s="28">
        <v>16</v>
      </c>
      <c r="I12" s="28">
        <v>16</v>
      </c>
      <c r="J12" s="28">
        <v>16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9"/>
      <c r="AA12" s="30">
        <f t="shared" si="2"/>
        <v>96</v>
      </c>
      <c r="AB12" s="29"/>
      <c r="AC12" s="44"/>
      <c r="AD12" s="27"/>
    </row>
    <row r="13" spans="1:30" x14ac:dyDescent="0.35">
      <c r="A13" s="1"/>
      <c r="B13" s="24"/>
      <c r="C13" s="32"/>
      <c r="D13" s="26" t="s">
        <v>79</v>
      </c>
      <c r="E13" s="27"/>
      <c r="F13" s="28">
        <v>12</v>
      </c>
      <c r="G13" s="28">
        <v>12</v>
      </c>
      <c r="H13" s="28">
        <v>0</v>
      </c>
      <c r="I13" s="28">
        <v>12</v>
      </c>
      <c r="J13" s="28">
        <v>12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9"/>
      <c r="AA13" s="30">
        <f t="shared" si="2"/>
        <v>48</v>
      </c>
      <c r="AB13" s="29"/>
      <c r="AC13" s="44"/>
      <c r="AD13" s="27"/>
    </row>
    <row r="14" spans="1:30" x14ac:dyDescent="0.35">
      <c r="A14" s="1"/>
      <c r="B14" s="24">
        <f>+B12+1</f>
        <v>5</v>
      </c>
      <c r="C14" s="25" t="s">
        <v>45</v>
      </c>
      <c r="D14" s="33"/>
      <c r="E14" s="27"/>
      <c r="F14" s="28">
        <f>+SUM(F15:F23)</f>
        <v>188</v>
      </c>
      <c r="G14" s="28">
        <f t="shared" ref="G14:J14" si="5">+SUM(G15:G23)</f>
        <v>204</v>
      </c>
      <c r="H14" s="28">
        <f t="shared" si="5"/>
        <v>56</v>
      </c>
      <c r="I14" s="28">
        <f t="shared" si="5"/>
        <v>148</v>
      </c>
      <c r="J14" s="28">
        <f t="shared" si="5"/>
        <v>236</v>
      </c>
      <c r="K14" s="28">
        <f t="shared" ref="K14:Y14" si="6">+SUM(K15:K22)</f>
        <v>0</v>
      </c>
      <c r="L14" s="28">
        <f t="shared" si="6"/>
        <v>0</v>
      </c>
      <c r="M14" s="28">
        <f t="shared" si="6"/>
        <v>0</v>
      </c>
      <c r="N14" s="28">
        <f t="shared" si="6"/>
        <v>0</v>
      </c>
      <c r="O14" s="28">
        <f t="shared" si="6"/>
        <v>0</v>
      </c>
      <c r="P14" s="28">
        <f t="shared" si="6"/>
        <v>0</v>
      </c>
      <c r="Q14" s="28">
        <f t="shared" si="6"/>
        <v>0</v>
      </c>
      <c r="R14" s="28">
        <f t="shared" si="6"/>
        <v>0</v>
      </c>
      <c r="S14" s="28">
        <f t="shared" si="6"/>
        <v>0</v>
      </c>
      <c r="T14" s="28">
        <f t="shared" si="6"/>
        <v>0</v>
      </c>
      <c r="U14" s="28">
        <f t="shared" si="6"/>
        <v>0</v>
      </c>
      <c r="V14" s="28">
        <f t="shared" si="6"/>
        <v>0</v>
      </c>
      <c r="W14" s="28">
        <f t="shared" si="6"/>
        <v>0</v>
      </c>
      <c r="X14" s="28">
        <f t="shared" si="6"/>
        <v>0</v>
      </c>
      <c r="Y14" s="28">
        <f t="shared" si="6"/>
        <v>0</v>
      </c>
      <c r="Z14" s="29"/>
      <c r="AA14" s="30">
        <f t="shared" si="2"/>
        <v>832</v>
      </c>
      <c r="AB14" s="29"/>
      <c r="AC14" s="44"/>
      <c r="AD14" s="1"/>
    </row>
    <row r="15" spans="1:30" x14ac:dyDescent="0.35">
      <c r="A15" s="1"/>
      <c r="B15" s="24">
        <f t="shared" si="3"/>
        <v>6</v>
      </c>
      <c r="C15" s="32"/>
      <c r="D15" s="26" t="s">
        <v>46</v>
      </c>
      <c r="E15" s="27"/>
      <c r="F15" s="28">
        <v>16</v>
      </c>
      <c r="G15" s="28">
        <v>8</v>
      </c>
      <c r="H15" s="28">
        <v>8</v>
      </c>
      <c r="I15" s="28">
        <v>8</v>
      </c>
      <c r="J15" s="28">
        <v>24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/>
      <c r="AA15" s="30">
        <f t="shared" si="2"/>
        <v>64</v>
      </c>
      <c r="AB15" s="29"/>
      <c r="AC15" s="44"/>
      <c r="AD15" s="29"/>
    </row>
    <row r="16" spans="1:30" x14ac:dyDescent="0.35">
      <c r="A16" s="1"/>
      <c r="B16" s="24">
        <f t="shared" si="3"/>
        <v>7</v>
      </c>
      <c r="C16" s="32"/>
      <c r="D16" s="26" t="s">
        <v>47</v>
      </c>
      <c r="E16" s="27"/>
      <c r="F16" s="28">
        <v>8</v>
      </c>
      <c r="G16" s="28">
        <v>16</v>
      </c>
      <c r="H16" s="28">
        <v>8</v>
      </c>
      <c r="I16" s="28">
        <v>0</v>
      </c>
      <c r="J16" s="28">
        <v>8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9"/>
      <c r="AA16" s="30">
        <f t="shared" si="2"/>
        <v>40</v>
      </c>
      <c r="AB16" s="29"/>
      <c r="AC16" s="44"/>
      <c r="AD16" s="27"/>
    </row>
    <row r="17" spans="1:30" x14ac:dyDescent="0.35">
      <c r="A17" s="1"/>
      <c r="B17" s="24">
        <f t="shared" si="3"/>
        <v>8</v>
      </c>
      <c r="C17" s="32"/>
      <c r="D17" s="26" t="s">
        <v>48</v>
      </c>
      <c r="E17" s="27"/>
      <c r="F17" s="28">
        <v>8</v>
      </c>
      <c r="G17" s="28">
        <v>16</v>
      </c>
      <c r="H17" s="28">
        <v>8</v>
      </c>
      <c r="I17" s="28">
        <v>0</v>
      </c>
      <c r="J17" s="28">
        <v>32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/>
      <c r="AA17" s="30">
        <f t="shared" si="2"/>
        <v>64</v>
      </c>
      <c r="AB17" s="29"/>
      <c r="AC17" s="44"/>
      <c r="AD17" s="27"/>
    </row>
    <row r="18" spans="1:30" x14ac:dyDescent="0.35">
      <c r="A18" s="1"/>
      <c r="B18" s="24">
        <f t="shared" si="3"/>
        <v>9</v>
      </c>
      <c r="C18" s="32"/>
      <c r="D18" s="26" t="s">
        <v>49</v>
      </c>
      <c r="E18" s="27"/>
      <c r="F18" s="28">
        <v>8</v>
      </c>
      <c r="G18" s="28">
        <v>16</v>
      </c>
      <c r="H18" s="28">
        <v>8</v>
      </c>
      <c r="I18" s="28">
        <v>0</v>
      </c>
      <c r="J18" s="28">
        <v>16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9"/>
      <c r="AA18" s="30">
        <f t="shared" si="2"/>
        <v>48</v>
      </c>
      <c r="AB18" s="29"/>
      <c r="AC18" s="44"/>
      <c r="AD18" s="27"/>
    </row>
    <row r="19" spans="1:30" x14ac:dyDescent="0.35">
      <c r="A19" s="1"/>
      <c r="B19" s="24">
        <f t="shared" si="3"/>
        <v>10</v>
      </c>
      <c r="C19" s="32"/>
      <c r="D19" s="26" t="s">
        <v>50</v>
      </c>
      <c r="E19" s="27"/>
      <c r="F19" s="28">
        <v>16</v>
      </c>
      <c r="G19" s="28">
        <v>16</v>
      </c>
      <c r="H19" s="28">
        <v>8</v>
      </c>
      <c r="I19" s="28">
        <v>16</v>
      </c>
      <c r="J19" s="28">
        <v>16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9"/>
      <c r="AA19" s="30">
        <f t="shared" si="2"/>
        <v>72</v>
      </c>
      <c r="AB19" s="29"/>
      <c r="AC19" s="44"/>
      <c r="AD19" s="27"/>
    </row>
    <row r="20" spans="1:30" x14ac:dyDescent="0.35">
      <c r="A20" s="1"/>
      <c r="B20" s="24">
        <f t="shared" si="3"/>
        <v>11</v>
      </c>
      <c r="C20" s="32"/>
      <c r="D20" s="26" t="s">
        <v>51</v>
      </c>
      <c r="E20" s="27"/>
      <c r="F20" s="28">
        <f>2*8*6</f>
        <v>96</v>
      </c>
      <c r="G20" s="28">
        <v>96</v>
      </c>
      <c r="H20" s="28">
        <v>0</v>
      </c>
      <c r="I20" s="28">
        <v>96</v>
      </c>
      <c r="J20" s="28">
        <v>96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9"/>
      <c r="AA20" s="30">
        <f t="shared" si="2"/>
        <v>384</v>
      </c>
      <c r="AB20" s="29"/>
      <c r="AC20" s="44"/>
      <c r="AD20" s="27"/>
    </row>
    <row r="21" spans="1:30" x14ac:dyDescent="0.35">
      <c r="A21" s="1"/>
      <c r="B21" s="24">
        <f t="shared" si="3"/>
        <v>12</v>
      </c>
      <c r="C21" s="32"/>
      <c r="D21" s="26" t="s">
        <v>52</v>
      </c>
      <c r="E21" s="27"/>
      <c r="F21" s="28">
        <v>8</v>
      </c>
      <c r="G21" s="28">
        <v>8</v>
      </c>
      <c r="H21" s="28">
        <v>8</v>
      </c>
      <c r="I21" s="28">
        <v>0</v>
      </c>
      <c r="J21" s="28">
        <v>16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9"/>
      <c r="AA21" s="30">
        <f t="shared" si="2"/>
        <v>40</v>
      </c>
      <c r="AB21" s="29"/>
      <c r="AC21" s="44"/>
      <c r="AD21" s="27"/>
    </row>
    <row r="22" spans="1:30" x14ac:dyDescent="0.35">
      <c r="A22" s="1"/>
      <c r="B22" s="24">
        <f t="shared" si="3"/>
        <v>13</v>
      </c>
      <c r="C22" s="25"/>
      <c r="D22" s="26" t="s">
        <v>53</v>
      </c>
      <c r="E22" s="27"/>
      <c r="F22" s="28">
        <v>16</v>
      </c>
      <c r="G22" s="28">
        <v>16</v>
      </c>
      <c r="H22" s="28">
        <v>8</v>
      </c>
      <c r="I22" s="28">
        <v>16</v>
      </c>
      <c r="J22" s="28">
        <v>16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9"/>
      <c r="AA22" s="30">
        <f t="shared" si="2"/>
        <v>72</v>
      </c>
      <c r="AB22" s="29"/>
      <c r="AC22" s="44"/>
      <c r="AD22" s="1"/>
    </row>
    <row r="23" spans="1:30" x14ac:dyDescent="0.35">
      <c r="A23" s="1"/>
      <c r="B23" s="24">
        <f t="shared" si="3"/>
        <v>14</v>
      </c>
      <c r="C23" s="25"/>
      <c r="D23" s="26" t="s">
        <v>80</v>
      </c>
      <c r="E23" s="27"/>
      <c r="F23" s="28">
        <v>12</v>
      </c>
      <c r="G23" s="28">
        <v>12</v>
      </c>
      <c r="H23" s="28">
        <v>0</v>
      </c>
      <c r="I23" s="28">
        <v>12</v>
      </c>
      <c r="J23" s="28">
        <v>12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9"/>
      <c r="AA23" s="30">
        <f t="shared" si="2"/>
        <v>48</v>
      </c>
      <c r="AB23" s="29"/>
      <c r="AC23" s="44"/>
      <c r="AD23" s="1"/>
    </row>
    <row r="24" spans="1:30" x14ac:dyDescent="0.35">
      <c r="A24" s="1"/>
      <c r="B24" s="24">
        <f t="shared" si="3"/>
        <v>15</v>
      </c>
      <c r="C24" s="25" t="s">
        <v>54</v>
      </c>
      <c r="D24" s="26"/>
      <c r="E24" s="27"/>
      <c r="F24" s="28">
        <f>+SUM(F25:F32)</f>
        <v>140</v>
      </c>
      <c r="G24" s="28">
        <f t="shared" ref="G24:J24" si="7">+SUM(G25:G32)</f>
        <v>108</v>
      </c>
      <c r="H24" s="28">
        <f t="shared" si="7"/>
        <v>128</v>
      </c>
      <c r="I24" s="28">
        <f t="shared" si="7"/>
        <v>130</v>
      </c>
      <c r="J24" s="28">
        <f t="shared" si="7"/>
        <v>116</v>
      </c>
      <c r="K24" s="28">
        <f t="shared" ref="K24:Y24" si="8">+SUM(K25:K31)</f>
        <v>0</v>
      </c>
      <c r="L24" s="28">
        <f t="shared" si="8"/>
        <v>0</v>
      </c>
      <c r="M24" s="28">
        <f t="shared" si="8"/>
        <v>0</v>
      </c>
      <c r="N24" s="28">
        <f t="shared" si="8"/>
        <v>0</v>
      </c>
      <c r="O24" s="28">
        <f t="shared" si="8"/>
        <v>0</v>
      </c>
      <c r="P24" s="28">
        <f t="shared" si="8"/>
        <v>0</v>
      </c>
      <c r="Q24" s="28">
        <f t="shared" si="8"/>
        <v>0</v>
      </c>
      <c r="R24" s="28">
        <f t="shared" si="8"/>
        <v>0</v>
      </c>
      <c r="S24" s="28">
        <f t="shared" si="8"/>
        <v>0</v>
      </c>
      <c r="T24" s="28">
        <f t="shared" si="8"/>
        <v>0</v>
      </c>
      <c r="U24" s="28">
        <f t="shared" si="8"/>
        <v>0</v>
      </c>
      <c r="V24" s="28">
        <f t="shared" si="8"/>
        <v>0</v>
      </c>
      <c r="W24" s="28">
        <f t="shared" si="8"/>
        <v>0</v>
      </c>
      <c r="X24" s="28">
        <f t="shared" si="8"/>
        <v>0</v>
      </c>
      <c r="Y24" s="28">
        <f t="shared" si="8"/>
        <v>0</v>
      </c>
      <c r="Z24" s="29"/>
      <c r="AA24" s="30">
        <f t="shared" si="2"/>
        <v>622</v>
      </c>
      <c r="AB24" s="29"/>
      <c r="AC24" s="44"/>
      <c r="AD24" s="29"/>
    </row>
    <row r="25" spans="1:30" x14ac:dyDescent="0.35">
      <c r="A25" s="1"/>
      <c r="B25" s="24">
        <f t="shared" si="3"/>
        <v>16</v>
      </c>
      <c r="C25" s="25"/>
      <c r="D25" s="26" t="s">
        <v>55</v>
      </c>
      <c r="E25" s="27"/>
      <c r="F25" s="28">
        <v>16</v>
      </c>
      <c r="G25" s="28">
        <v>8</v>
      </c>
      <c r="H25" s="28">
        <v>24</v>
      </c>
      <c r="I25" s="28">
        <v>6</v>
      </c>
      <c r="J25" s="28">
        <v>24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/>
      <c r="AA25" s="30">
        <f t="shared" si="2"/>
        <v>78</v>
      </c>
      <c r="AB25" s="29"/>
      <c r="AC25" s="44"/>
      <c r="AD25" s="29"/>
    </row>
    <row r="26" spans="1:30" x14ac:dyDescent="0.35">
      <c r="A26" s="1"/>
      <c r="B26" s="24">
        <f t="shared" si="3"/>
        <v>17</v>
      </c>
      <c r="C26" s="25"/>
      <c r="D26" s="26" t="s">
        <v>56</v>
      </c>
      <c r="E26" s="27"/>
      <c r="F26" s="28">
        <v>16</v>
      </c>
      <c r="G26" s="28">
        <v>16</v>
      </c>
      <c r="H26" s="28">
        <v>16</v>
      </c>
      <c r="I26" s="28">
        <v>24</v>
      </c>
      <c r="J26" s="28">
        <v>8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30">
        <f t="shared" si="2"/>
        <v>80</v>
      </c>
      <c r="AB26" s="29"/>
      <c r="AC26" s="44"/>
      <c r="AD26" s="29"/>
    </row>
    <row r="27" spans="1:30" x14ac:dyDescent="0.35">
      <c r="A27" s="1"/>
      <c r="B27" s="24">
        <f t="shared" si="3"/>
        <v>18</v>
      </c>
      <c r="C27" s="25"/>
      <c r="D27" s="26" t="s">
        <v>57</v>
      </c>
      <c r="E27" s="27"/>
      <c r="F27" s="28">
        <v>16</v>
      </c>
      <c r="G27" s="28">
        <v>16</v>
      </c>
      <c r="H27" s="28">
        <v>8</v>
      </c>
      <c r="I27" s="28">
        <v>16</v>
      </c>
      <c r="J27" s="28">
        <v>16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9"/>
      <c r="AA27" s="30">
        <f t="shared" si="2"/>
        <v>72</v>
      </c>
      <c r="AB27" s="29"/>
      <c r="AC27" s="44"/>
      <c r="AD27" s="29"/>
    </row>
    <row r="28" spans="1:30" x14ac:dyDescent="0.35">
      <c r="A28" s="1"/>
      <c r="B28" s="24">
        <f t="shared" si="3"/>
        <v>19</v>
      </c>
      <c r="C28" s="25"/>
      <c r="D28" s="26" t="s">
        <v>58</v>
      </c>
      <c r="E28" s="27"/>
      <c r="F28" s="28">
        <v>16</v>
      </c>
      <c r="G28" s="28">
        <v>16</v>
      </c>
      <c r="H28" s="28">
        <v>16</v>
      </c>
      <c r="I28" s="28">
        <v>16</v>
      </c>
      <c r="J28" s="28">
        <v>16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9"/>
      <c r="AA28" s="30">
        <f t="shared" si="2"/>
        <v>80</v>
      </c>
      <c r="AB28" s="29"/>
      <c r="AC28" s="44"/>
      <c r="AD28" s="29"/>
    </row>
    <row r="29" spans="1:30" x14ac:dyDescent="0.35">
      <c r="A29" s="1"/>
      <c r="B29" s="24">
        <f t="shared" si="3"/>
        <v>20</v>
      </c>
      <c r="C29" s="25"/>
      <c r="D29" s="26" t="s">
        <v>59</v>
      </c>
      <c r="E29" s="27"/>
      <c r="F29" s="28">
        <v>16</v>
      </c>
      <c r="G29" s="28">
        <v>8</v>
      </c>
      <c r="H29" s="28">
        <v>8</v>
      </c>
      <c r="I29" s="28">
        <v>24</v>
      </c>
      <c r="J29" s="28">
        <v>16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30">
        <f t="shared" si="2"/>
        <v>72</v>
      </c>
      <c r="AB29" s="29"/>
      <c r="AC29" s="44"/>
      <c r="AD29" s="29"/>
    </row>
    <row r="30" spans="1:30" x14ac:dyDescent="0.35">
      <c r="A30" s="1"/>
      <c r="B30" s="24">
        <f t="shared" si="3"/>
        <v>21</v>
      </c>
      <c r="C30" s="25"/>
      <c r="D30" s="26" t="s">
        <v>60</v>
      </c>
      <c r="E30" s="27"/>
      <c r="F30" s="28">
        <v>16</v>
      </c>
      <c r="G30" s="28">
        <v>8</v>
      </c>
      <c r="H30" s="28">
        <v>40</v>
      </c>
      <c r="I30" s="28">
        <v>16</v>
      </c>
      <c r="J30" s="28">
        <v>8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9"/>
      <c r="AA30" s="30">
        <f t="shared" si="2"/>
        <v>88</v>
      </c>
      <c r="AB30" s="29"/>
      <c r="AC30" s="44"/>
      <c r="AD30" s="29"/>
    </row>
    <row r="31" spans="1:30" x14ac:dyDescent="0.35">
      <c r="A31" s="1"/>
      <c r="B31" s="24">
        <f t="shared" si="3"/>
        <v>22</v>
      </c>
      <c r="C31" s="25"/>
      <c r="D31" s="26" t="s">
        <v>61</v>
      </c>
      <c r="E31" s="27"/>
      <c r="F31" s="28">
        <v>32</v>
      </c>
      <c r="G31" s="28">
        <v>24</v>
      </c>
      <c r="H31" s="28">
        <v>16</v>
      </c>
      <c r="I31" s="28">
        <v>16</v>
      </c>
      <c r="J31" s="28">
        <v>16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9"/>
      <c r="AA31" s="30">
        <f t="shared" si="2"/>
        <v>104</v>
      </c>
      <c r="AB31" s="29"/>
      <c r="AC31" s="44"/>
      <c r="AD31" s="29"/>
    </row>
    <row r="32" spans="1:30" x14ac:dyDescent="0.35">
      <c r="A32" s="1"/>
      <c r="B32" s="24">
        <f t="shared" si="3"/>
        <v>23</v>
      </c>
      <c r="C32" s="25"/>
      <c r="D32" s="26" t="s">
        <v>81</v>
      </c>
      <c r="E32" s="27"/>
      <c r="F32" s="28">
        <v>12</v>
      </c>
      <c r="G32" s="28">
        <v>12</v>
      </c>
      <c r="H32" s="28">
        <v>0</v>
      </c>
      <c r="I32" s="28">
        <v>12</v>
      </c>
      <c r="J32" s="28">
        <v>12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  <c r="AA32" s="30">
        <f t="shared" si="2"/>
        <v>48</v>
      </c>
      <c r="AB32" s="29"/>
      <c r="AC32" s="44"/>
      <c r="AD32" s="29"/>
    </row>
    <row r="33" spans="1:30" x14ac:dyDescent="0.35">
      <c r="A33" s="1"/>
      <c r="B33" s="24">
        <f t="shared" si="3"/>
        <v>24</v>
      </c>
      <c r="C33" s="25" t="s">
        <v>62</v>
      </c>
      <c r="D33" s="33"/>
      <c r="E33" s="27"/>
      <c r="F33" s="28">
        <f>+SUM(F34:F38)</f>
        <v>108</v>
      </c>
      <c r="G33" s="28">
        <f t="shared" ref="G33:H33" si="9">+SUM(G34:G38)</f>
        <v>76</v>
      </c>
      <c r="H33" s="28">
        <f t="shared" si="9"/>
        <v>40</v>
      </c>
      <c r="I33" s="28">
        <f t="shared" ref="I33" si="10">+SUM(I34:I38)</f>
        <v>382</v>
      </c>
      <c r="J33" s="28">
        <f t="shared" ref="J33" si="11">+SUM(J34:J38)</f>
        <v>268</v>
      </c>
      <c r="K33" s="28">
        <f t="shared" ref="K33:Y33" si="12">+SUM(K34:K37)</f>
        <v>0</v>
      </c>
      <c r="L33" s="28">
        <f t="shared" si="12"/>
        <v>0</v>
      </c>
      <c r="M33" s="28">
        <f t="shared" si="12"/>
        <v>0</v>
      </c>
      <c r="N33" s="28">
        <f t="shared" si="12"/>
        <v>0</v>
      </c>
      <c r="O33" s="28">
        <f t="shared" si="12"/>
        <v>0</v>
      </c>
      <c r="P33" s="28">
        <f t="shared" si="12"/>
        <v>0</v>
      </c>
      <c r="Q33" s="28">
        <f t="shared" si="12"/>
        <v>0</v>
      </c>
      <c r="R33" s="28">
        <f t="shared" si="12"/>
        <v>0</v>
      </c>
      <c r="S33" s="28">
        <f t="shared" si="12"/>
        <v>0</v>
      </c>
      <c r="T33" s="28">
        <f t="shared" si="12"/>
        <v>0</v>
      </c>
      <c r="U33" s="28">
        <f t="shared" si="12"/>
        <v>0</v>
      </c>
      <c r="V33" s="28">
        <f t="shared" si="12"/>
        <v>0</v>
      </c>
      <c r="W33" s="28">
        <f t="shared" si="12"/>
        <v>0</v>
      </c>
      <c r="X33" s="28">
        <f t="shared" si="12"/>
        <v>0</v>
      </c>
      <c r="Y33" s="28">
        <f t="shared" si="12"/>
        <v>0</v>
      </c>
      <c r="Z33" s="29"/>
      <c r="AA33" s="30">
        <f t="shared" si="2"/>
        <v>874</v>
      </c>
      <c r="AB33" s="29"/>
      <c r="AC33" s="44"/>
      <c r="AD33" s="27"/>
    </row>
    <row r="34" spans="1:30" x14ac:dyDescent="0.35">
      <c r="A34" s="1"/>
      <c r="B34" s="24">
        <f t="shared" si="3"/>
        <v>25</v>
      </c>
      <c r="C34" s="32"/>
      <c r="D34" s="26" t="s">
        <v>72</v>
      </c>
      <c r="E34" s="27"/>
      <c r="F34" s="28">
        <v>16</v>
      </c>
      <c r="G34" s="28">
        <v>16</v>
      </c>
      <c r="H34" s="28">
        <v>8</v>
      </c>
      <c r="I34" s="28">
        <v>120</v>
      </c>
      <c r="J34" s="28">
        <v>120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"/>
      <c r="AA34" s="30">
        <f t="shared" si="2"/>
        <v>280</v>
      </c>
      <c r="AB34" s="29"/>
      <c r="AC34" s="44"/>
      <c r="AD34" s="1"/>
    </row>
    <row r="35" spans="1:30" x14ac:dyDescent="0.35">
      <c r="A35" s="1"/>
      <c r="B35" s="24">
        <f t="shared" si="3"/>
        <v>26</v>
      </c>
      <c r="C35" s="32"/>
      <c r="D35" s="26" t="s">
        <v>73</v>
      </c>
      <c r="E35" s="27"/>
      <c r="F35" s="28">
        <v>24</v>
      </c>
      <c r="G35" s="28">
        <v>16</v>
      </c>
      <c r="H35" s="28">
        <v>8</v>
      </c>
      <c r="I35" s="28">
        <v>150</v>
      </c>
      <c r="J35" s="28">
        <v>80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9"/>
      <c r="AA35" s="30">
        <f t="shared" si="2"/>
        <v>278</v>
      </c>
      <c r="AB35" s="29"/>
      <c r="AC35" s="44"/>
      <c r="AD35" s="29"/>
    </row>
    <row r="36" spans="1:30" x14ac:dyDescent="0.35">
      <c r="A36" s="1"/>
      <c r="B36" s="24">
        <f t="shared" si="3"/>
        <v>27</v>
      </c>
      <c r="C36" s="32"/>
      <c r="D36" s="26" t="s">
        <v>74</v>
      </c>
      <c r="E36" s="27"/>
      <c r="F36" s="28">
        <v>24</v>
      </c>
      <c r="G36" s="28">
        <v>16</v>
      </c>
      <c r="H36" s="28">
        <v>8</v>
      </c>
      <c r="I36" s="28">
        <v>60</v>
      </c>
      <c r="J36" s="28">
        <v>40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9"/>
      <c r="AA36" s="30">
        <f t="shared" si="2"/>
        <v>148</v>
      </c>
      <c r="AB36" s="29"/>
      <c r="AC36" s="44"/>
      <c r="AD36" s="27"/>
    </row>
    <row r="37" spans="1:30" x14ac:dyDescent="0.35">
      <c r="A37" s="1"/>
      <c r="B37" s="24">
        <f t="shared" si="3"/>
        <v>28</v>
      </c>
      <c r="C37" s="32"/>
      <c r="D37" s="26" t="s">
        <v>75</v>
      </c>
      <c r="E37" s="27"/>
      <c r="F37" s="28">
        <v>32</v>
      </c>
      <c r="G37" s="28">
        <v>16</v>
      </c>
      <c r="H37" s="28">
        <v>16</v>
      </c>
      <c r="I37" s="28">
        <v>40</v>
      </c>
      <c r="J37" s="28">
        <v>16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9"/>
      <c r="AA37" s="30">
        <f t="shared" si="2"/>
        <v>120</v>
      </c>
      <c r="AB37" s="29"/>
      <c r="AC37" s="44"/>
      <c r="AD37" s="1"/>
    </row>
    <row r="38" spans="1:30" x14ac:dyDescent="0.35">
      <c r="A38" s="1"/>
      <c r="B38" s="24">
        <f t="shared" si="3"/>
        <v>29</v>
      </c>
      <c r="C38" s="32"/>
      <c r="D38" s="26" t="s">
        <v>82</v>
      </c>
      <c r="E38" s="27"/>
      <c r="F38" s="28">
        <v>12</v>
      </c>
      <c r="G38" s="28">
        <v>12</v>
      </c>
      <c r="H38" s="28">
        <v>0</v>
      </c>
      <c r="I38" s="28">
        <v>12</v>
      </c>
      <c r="J38" s="28">
        <v>12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9"/>
      <c r="AA38" s="30">
        <f t="shared" si="2"/>
        <v>48</v>
      </c>
      <c r="AB38" s="29"/>
      <c r="AC38" s="44"/>
      <c r="AD38" s="1"/>
    </row>
    <row r="39" spans="1:30" x14ac:dyDescent="0.35">
      <c r="A39" s="1"/>
      <c r="B39" s="24">
        <f t="shared" si="3"/>
        <v>30</v>
      </c>
      <c r="C39" s="25" t="s">
        <v>63</v>
      </c>
      <c r="D39" s="33"/>
      <c r="E39" s="27"/>
      <c r="F39" s="28">
        <f>+SUM(F40:F43)</f>
        <v>88</v>
      </c>
      <c r="G39" s="28">
        <f t="shared" ref="G39:J39" si="13">+SUM(G40:G43)</f>
        <v>52</v>
      </c>
      <c r="H39" s="28">
        <f t="shared" si="13"/>
        <v>152</v>
      </c>
      <c r="I39" s="28">
        <f t="shared" si="13"/>
        <v>56</v>
      </c>
      <c r="J39" s="28">
        <f t="shared" si="13"/>
        <v>80</v>
      </c>
      <c r="K39" s="28">
        <f t="shared" ref="K39:Y39" si="14">+SUM(K40:K42)</f>
        <v>0</v>
      </c>
      <c r="L39" s="28">
        <f t="shared" si="14"/>
        <v>0</v>
      </c>
      <c r="M39" s="28">
        <f t="shared" si="14"/>
        <v>0</v>
      </c>
      <c r="N39" s="28">
        <f t="shared" si="14"/>
        <v>0</v>
      </c>
      <c r="O39" s="28">
        <f t="shared" si="14"/>
        <v>0</v>
      </c>
      <c r="P39" s="28">
        <f t="shared" si="14"/>
        <v>0</v>
      </c>
      <c r="Q39" s="28">
        <f t="shared" si="14"/>
        <v>0</v>
      </c>
      <c r="R39" s="28">
        <f t="shared" si="14"/>
        <v>0</v>
      </c>
      <c r="S39" s="28">
        <f t="shared" si="14"/>
        <v>0</v>
      </c>
      <c r="T39" s="28">
        <f t="shared" si="14"/>
        <v>0</v>
      </c>
      <c r="U39" s="28">
        <f t="shared" si="14"/>
        <v>0</v>
      </c>
      <c r="V39" s="28">
        <f t="shared" si="14"/>
        <v>0</v>
      </c>
      <c r="W39" s="28">
        <f t="shared" si="14"/>
        <v>0</v>
      </c>
      <c r="X39" s="28">
        <f t="shared" si="14"/>
        <v>0</v>
      </c>
      <c r="Y39" s="28">
        <f t="shared" si="14"/>
        <v>0</v>
      </c>
      <c r="Z39" s="29"/>
      <c r="AA39" s="30">
        <f t="shared" si="2"/>
        <v>428</v>
      </c>
      <c r="AB39" s="29"/>
      <c r="AC39" s="44"/>
      <c r="AD39" s="29"/>
    </row>
    <row r="40" spans="1:30" x14ac:dyDescent="0.35">
      <c r="A40" s="1"/>
      <c r="B40" s="24">
        <f t="shared" si="3"/>
        <v>31</v>
      </c>
      <c r="C40" s="32"/>
      <c r="D40" s="26" t="s">
        <v>76</v>
      </c>
      <c r="E40" s="27"/>
      <c r="F40" s="28">
        <f>3*2*2*2</f>
        <v>24</v>
      </c>
      <c r="G40" s="28">
        <v>16</v>
      </c>
      <c r="H40" s="28">
        <v>0</v>
      </c>
      <c r="I40" s="28">
        <v>0</v>
      </c>
      <c r="J40" s="28">
        <f>3*2*2*2</f>
        <v>24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9"/>
      <c r="AA40" s="30">
        <f t="shared" si="2"/>
        <v>64</v>
      </c>
      <c r="AB40" s="29"/>
      <c r="AC40" s="44"/>
      <c r="AD40" s="27"/>
    </row>
    <row r="41" spans="1:30" x14ac:dyDescent="0.35">
      <c r="A41" s="1"/>
      <c r="B41" s="24">
        <f t="shared" si="3"/>
        <v>32</v>
      </c>
      <c r="C41" s="32"/>
      <c r="D41" s="26" t="s">
        <v>77</v>
      </c>
      <c r="E41" s="27"/>
      <c r="F41" s="28">
        <v>16</v>
      </c>
      <c r="G41" s="28">
        <v>4</v>
      </c>
      <c r="H41" s="28">
        <v>120</v>
      </c>
      <c r="I41" s="28">
        <v>16</v>
      </c>
      <c r="J41" s="28">
        <v>16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9"/>
      <c r="AA41" s="30">
        <f t="shared" si="2"/>
        <v>172</v>
      </c>
      <c r="AB41" s="29"/>
      <c r="AC41" s="44"/>
      <c r="AD41" s="1"/>
    </row>
    <row r="42" spans="1:30" x14ac:dyDescent="0.35">
      <c r="A42" s="1"/>
      <c r="B42" s="24">
        <f t="shared" si="3"/>
        <v>33</v>
      </c>
      <c r="C42" s="32"/>
      <c r="D42" s="26" t="s">
        <v>78</v>
      </c>
      <c r="E42" s="27"/>
      <c r="F42" s="28">
        <v>32</v>
      </c>
      <c r="G42" s="28">
        <v>16</v>
      </c>
      <c r="H42" s="28">
        <v>32</v>
      </c>
      <c r="I42" s="28">
        <v>24</v>
      </c>
      <c r="J42" s="28">
        <v>24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9"/>
      <c r="AA42" s="30">
        <f t="shared" si="2"/>
        <v>128</v>
      </c>
      <c r="AB42" s="29"/>
      <c r="AC42" s="44"/>
      <c r="AD42" s="29"/>
    </row>
    <row r="43" spans="1:30" x14ac:dyDescent="0.35">
      <c r="A43" s="1"/>
      <c r="B43" s="24">
        <f t="shared" si="3"/>
        <v>34</v>
      </c>
      <c r="C43" s="32"/>
      <c r="D43" s="26" t="s">
        <v>83</v>
      </c>
      <c r="E43" s="27"/>
      <c r="F43" s="28">
        <v>16</v>
      </c>
      <c r="G43" s="28">
        <v>16</v>
      </c>
      <c r="H43" s="28">
        <v>0</v>
      </c>
      <c r="I43" s="28">
        <v>16</v>
      </c>
      <c r="J43" s="28">
        <v>16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9"/>
      <c r="AA43" s="30">
        <f t="shared" si="2"/>
        <v>64</v>
      </c>
      <c r="AB43" s="29"/>
      <c r="AC43" s="44"/>
      <c r="AD43" s="29"/>
    </row>
    <row r="44" spans="1:30" x14ac:dyDescent="0.35">
      <c r="A44" s="1"/>
      <c r="B44" s="24">
        <f t="shared" si="3"/>
        <v>35</v>
      </c>
      <c r="C44" s="32"/>
      <c r="D44" s="33"/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9"/>
      <c r="AA44" s="30" t="str">
        <f t="shared" si="2"/>
        <v/>
      </c>
      <c r="AB44" s="29"/>
      <c r="AC44" s="44"/>
      <c r="AD44" s="29"/>
    </row>
    <row r="45" spans="1:30" x14ac:dyDescent="0.35">
      <c r="A45" s="1"/>
      <c r="B45" s="24">
        <f t="shared" si="3"/>
        <v>36</v>
      </c>
      <c r="C45" s="32"/>
      <c r="D45" s="33"/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9"/>
      <c r="AA45" s="30" t="str">
        <f t="shared" si="2"/>
        <v/>
      </c>
      <c r="AB45" s="29"/>
      <c r="AC45" s="44"/>
      <c r="AD45" s="27"/>
    </row>
    <row r="46" spans="1:30" x14ac:dyDescent="0.35">
      <c r="A46" s="1"/>
      <c r="B46" s="24">
        <f t="shared" si="3"/>
        <v>37</v>
      </c>
      <c r="C46" s="32"/>
      <c r="D46" s="33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9"/>
      <c r="AA46" s="30" t="str">
        <f t="shared" si="2"/>
        <v/>
      </c>
      <c r="AB46" s="29"/>
      <c r="AC46" s="44"/>
      <c r="AD46" s="1"/>
    </row>
    <row r="47" spans="1:30" x14ac:dyDescent="0.35">
      <c r="A47" s="1"/>
      <c r="B47" s="24">
        <f t="shared" si="3"/>
        <v>38</v>
      </c>
      <c r="C47" s="32"/>
      <c r="D47" s="26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9"/>
      <c r="AA47" s="30" t="str">
        <f t="shared" si="2"/>
        <v/>
      </c>
      <c r="AB47" s="29"/>
      <c r="AC47" s="44"/>
      <c r="AD47" s="29"/>
    </row>
    <row r="48" spans="1:30" x14ac:dyDescent="0.35">
      <c r="A48" s="1"/>
      <c r="B48" s="24">
        <f t="shared" si="3"/>
        <v>39</v>
      </c>
      <c r="C48" s="32"/>
      <c r="D48" s="33"/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9"/>
      <c r="AA48" s="30" t="str">
        <f t="shared" si="2"/>
        <v/>
      </c>
      <c r="AB48" s="29"/>
      <c r="AC48" s="44"/>
      <c r="AD48" s="27"/>
    </row>
    <row r="49" spans="1:30" x14ac:dyDescent="0.35">
      <c r="A49" s="1"/>
      <c r="B49" s="24">
        <f t="shared" si="3"/>
        <v>40</v>
      </c>
      <c r="C49" s="32"/>
      <c r="D49" s="33"/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  <c r="AA49" s="30" t="str">
        <f t="shared" si="2"/>
        <v/>
      </c>
      <c r="AB49" s="29"/>
      <c r="AC49" s="44"/>
      <c r="AD49" s="1"/>
    </row>
    <row r="50" spans="1:30" x14ac:dyDescent="0.35">
      <c r="A50" s="1"/>
      <c r="B50" s="24">
        <f t="shared" si="3"/>
        <v>41</v>
      </c>
      <c r="C50" s="32"/>
      <c r="D50" s="33"/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9"/>
      <c r="AA50" s="30" t="str">
        <f t="shared" si="2"/>
        <v/>
      </c>
      <c r="AB50" s="29"/>
      <c r="AC50" s="44"/>
      <c r="AD50" s="29"/>
    </row>
    <row r="51" spans="1:30" x14ac:dyDescent="0.35">
      <c r="A51" s="1"/>
      <c r="B51" s="24">
        <f t="shared" si="3"/>
        <v>42</v>
      </c>
      <c r="C51" s="32"/>
      <c r="D51" s="33"/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9"/>
      <c r="AA51" s="30" t="str">
        <f t="shared" si="2"/>
        <v/>
      </c>
      <c r="AB51" s="29"/>
      <c r="AC51" s="44"/>
      <c r="AD51" s="27"/>
    </row>
    <row r="52" spans="1:30" x14ac:dyDescent="0.35">
      <c r="A52" s="1"/>
      <c r="B52" s="24">
        <f t="shared" si="3"/>
        <v>43</v>
      </c>
      <c r="C52" s="32"/>
      <c r="D52" s="33"/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9"/>
      <c r="AA52" s="30" t="str">
        <f t="shared" si="2"/>
        <v/>
      </c>
      <c r="AB52" s="29"/>
      <c r="AC52" s="44"/>
      <c r="AD52" s="1"/>
    </row>
    <row r="53" spans="1:30" x14ac:dyDescent="0.35">
      <c r="A53" s="1"/>
      <c r="B53" s="24">
        <f t="shared" si="3"/>
        <v>44</v>
      </c>
      <c r="C53" s="32"/>
      <c r="D53" s="33"/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9"/>
      <c r="AA53" s="30" t="str">
        <f t="shared" ref="AA53:AA79" si="15">IF(OR(C53&lt;&gt;"",D53&lt;&gt;""),SUM(F53:Y53),"")</f>
        <v/>
      </c>
      <c r="AB53" s="29"/>
      <c r="AC53" s="44"/>
      <c r="AD53" s="29"/>
    </row>
    <row r="54" spans="1:30" x14ac:dyDescent="0.35">
      <c r="A54" s="1"/>
      <c r="B54" s="24">
        <f t="shared" si="3"/>
        <v>45</v>
      </c>
      <c r="C54" s="32"/>
      <c r="D54" s="33"/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9"/>
      <c r="AA54" s="30" t="str">
        <f t="shared" si="15"/>
        <v/>
      </c>
      <c r="AB54" s="29"/>
      <c r="AC54" s="44"/>
      <c r="AD54" s="27"/>
    </row>
    <row r="55" spans="1:30" x14ac:dyDescent="0.35">
      <c r="A55" s="1"/>
      <c r="B55" s="24">
        <f t="shared" si="3"/>
        <v>46</v>
      </c>
      <c r="C55" s="32"/>
      <c r="D55" s="33"/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9"/>
      <c r="AA55" s="30" t="str">
        <f t="shared" si="15"/>
        <v/>
      </c>
      <c r="AB55" s="29"/>
      <c r="AC55" s="44"/>
      <c r="AD55" s="1"/>
    </row>
    <row r="56" spans="1:30" x14ac:dyDescent="0.35">
      <c r="A56" s="1"/>
      <c r="B56" s="24">
        <f t="shared" si="3"/>
        <v>47</v>
      </c>
      <c r="C56" s="32"/>
      <c r="D56" s="33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9"/>
      <c r="AA56" s="30" t="str">
        <f t="shared" si="15"/>
        <v/>
      </c>
      <c r="AB56" s="29"/>
      <c r="AC56" s="44"/>
      <c r="AD56" s="29"/>
    </row>
    <row r="57" spans="1:30" x14ac:dyDescent="0.35">
      <c r="A57" s="1"/>
      <c r="B57" s="24">
        <f t="shared" si="3"/>
        <v>48</v>
      </c>
      <c r="C57" s="32"/>
      <c r="D57" s="33"/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9"/>
      <c r="AA57" s="30" t="str">
        <f t="shared" si="15"/>
        <v/>
      </c>
      <c r="AB57" s="29"/>
      <c r="AC57" s="44"/>
      <c r="AD57" s="27"/>
    </row>
    <row r="58" spans="1:30" x14ac:dyDescent="0.35">
      <c r="A58" s="1"/>
      <c r="B58" s="24">
        <f t="shared" si="3"/>
        <v>49</v>
      </c>
      <c r="C58" s="32"/>
      <c r="D58" s="33"/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9"/>
      <c r="AA58" s="30" t="str">
        <f t="shared" si="15"/>
        <v/>
      </c>
      <c r="AB58" s="29"/>
      <c r="AC58" s="44"/>
      <c r="AD58" s="1"/>
    </row>
    <row r="59" spans="1:30" x14ac:dyDescent="0.35">
      <c r="A59" s="1"/>
      <c r="B59" s="24">
        <f t="shared" si="3"/>
        <v>50</v>
      </c>
      <c r="C59" s="32"/>
      <c r="D59" s="33"/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9"/>
      <c r="AA59" s="30" t="str">
        <f t="shared" si="15"/>
        <v/>
      </c>
      <c r="AB59" s="29"/>
      <c r="AC59" s="44"/>
      <c r="AD59" s="29"/>
    </row>
    <row r="60" spans="1:30" x14ac:dyDescent="0.35">
      <c r="A60" s="1"/>
      <c r="B60" s="24">
        <f t="shared" si="3"/>
        <v>51</v>
      </c>
      <c r="C60" s="32"/>
      <c r="D60" s="33"/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9"/>
      <c r="AA60" s="30" t="str">
        <f t="shared" si="15"/>
        <v/>
      </c>
      <c r="AB60" s="29"/>
      <c r="AC60" s="44"/>
      <c r="AD60" s="27"/>
    </row>
    <row r="61" spans="1:30" x14ac:dyDescent="0.35">
      <c r="A61" s="1"/>
      <c r="B61" s="24">
        <f t="shared" si="3"/>
        <v>52</v>
      </c>
      <c r="C61" s="32"/>
      <c r="D61" s="33"/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9"/>
      <c r="AA61" s="30" t="str">
        <f t="shared" si="15"/>
        <v/>
      </c>
      <c r="AB61" s="29"/>
      <c r="AC61" s="44"/>
      <c r="AD61" s="1"/>
    </row>
    <row r="62" spans="1:30" x14ac:dyDescent="0.35">
      <c r="A62" s="1"/>
      <c r="B62" s="24">
        <f t="shared" si="3"/>
        <v>53</v>
      </c>
      <c r="C62" s="32"/>
      <c r="D62" s="33"/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9"/>
      <c r="AA62" s="30" t="str">
        <f t="shared" si="15"/>
        <v/>
      </c>
      <c r="AB62" s="29"/>
      <c r="AC62" s="44"/>
      <c r="AD62" s="29"/>
    </row>
    <row r="63" spans="1:30" x14ac:dyDescent="0.35">
      <c r="A63" s="1"/>
      <c r="B63" s="24">
        <f t="shared" si="3"/>
        <v>54</v>
      </c>
      <c r="C63" s="32"/>
      <c r="D63" s="33"/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9"/>
      <c r="AA63" s="30" t="str">
        <f t="shared" si="15"/>
        <v/>
      </c>
      <c r="AB63" s="29"/>
      <c r="AC63" s="44"/>
      <c r="AD63" s="27"/>
    </row>
    <row r="64" spans="1:30" x14ac:dyDescent="0.35">
      <c r="A64" s="1"/>
      <c r="B64" s="24">
        <f t="shared" si="3"/>
        <v>55</v>
      </c>
      <c r="C64" s="32"/>
      <c r="D64" s="33"/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30" t="str">
        <f t="shared" si="15"/>
        <v/>
      </c>
      <c r="AB64" s="29"/>
      <c r="AC64" s="44"/>
      <c r="AD64" s="1"/>
    </row>
    <row r="65" spans="1:30" x14ac:dyDescent="0.35">
      <c r="A65" s="1"/>
      <c r="B65" s="24">
        <f t="shared" si="3"/>
        <v>56</v>
      </c>
      <c r="C65" s="32"/>
      <c r="D65" s="33"/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9"/>
      <c r="AA65" s="30" t="str">
        <f t="shared" si="15"/>
        <v/>
      </c>
      <c r="AB65" s="29"/>
      <c r="AC65" s="44"/>
      <c r="AD65" s="29"/>
    </row>
    <row r="66" spans="1:30" x14ac:dyDescent="0.35">
      <c r="A66" s="1"/>
      <c r="B66" s="24">
        <f t="shared" si="3"/>
        <v>57</v>
      </c>
      <c r="C66" s="32"/>
      <c r="D66" s="33"/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9"/>
      <c r="AA66" s="30" t="str">
        <f t="shared" si="15"/>
        <v/>
      </c>
      <c r="AB66" s="29"/>
      <c r="AC66" s="44"/>
      <c r="AD66" s="27"/>
    </row>
    <row r="67" spans="1:30" x14ac:dyDescent="0.35">
      <c r="A67" s="1"/>
      <c r="B67" s="24">
        <f t="shared" si="3"/>
        <v>58</v>
      </c>
      <c r="C67" s="32"/>
      <c r="D67" s="33"/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30" t="str">
        <f t="shared" si="15"/>
        <v/>
      </c>
      <c r="AB67" s="29"/>
      <c r="AC67" s="44"/>
      <c r="AD67" s="1"/>
    </row>
    <row r="68" spans="1:30" x14ac:dyDescent="0.35">
      <c r="A68" s="1"/>
      <c r="B68" s="24">
        <f t="shared" si="3"/>
        <v>59</v>
      </c>
      <c r="C68" s="32"/>
      <c r="D68" s="33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9"/>
      <c r="AA68" s="30" t="str">
        <f t="shared" si="15"/>
        <v/>
      </c>
      <c r="AB68" s="29"/>
      <c r="AC68" s="44"/>
      <c r="AD68" s="29"/>
    </row>
    <row r="69" spans="1:30" x14ac:dyDescent="0.35">
      <c r="A69" s="1"/>
      <c r="B69" s="24">
        <f t="shared" si="3"/>
        <v>60</v>
      </c>
      <c r="C69" s="32"/>
      <c r="D69" s="33"/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9"/>
      <c r="AA69" s="30" t="str">
        <f t="shared" si="15"/>
        <v/>
      </c>
      <c r="AB69" s="29"/>
      <c r="AC69" s="44"/>
      <c r="AD69" s="27"/>
    </row>
    <row r="70" spans="1:30" x14ac:dyDescent="0.35">
      <c r="A70" s="1"/>
      <c r="B70" s="24">
        <f t="shared" si="3"/>
        <v>61</v>
      </c>
      <c r="C70" s="32"/>
      <c r="D70" s="33"/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9"/>
      <c r="AA70" s="30" t="str">
        <f t="shared" si="15"/>
        <v/>
      </c>
      <c r="AB70" s="29"/>
      <c r="AC70" s="44"/>
      <c r="AD70" s="1"/>
    </row>
    <row r="71" spans="1:30" x14ac:dyDescent="0.35">
      <c r="A71" s="1"/>
      <c r="B71" s="24">
        <f t="shared" si="3"/>
        <v>62</v>
      </c>
      <c r="C71" s="32"/>
      <c r="D71" s="33"/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9"/>
      <c r="AA71" s="30" t="str">
        <f t="shared" si="15"/>
        <v/>
      </c>
      <c r="AB71" s="29"/>
      <c r="AC71" s="44"/>
      <c r="AD71" s="29"/>
    </row>
    <row r="72" spans="1:30" x14ac:dyDescent="0.35">
      <c r="A72" s="1"/>
      <c r="B72" s="24">
        <f t="shared" si="3"/>
        <v>63</v>
      </c>
      <c r="C72" s="32"/>
      <c r="D72" s="33"/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9"/>
      <c r="AA72" s="30" t="str">
        <f t="shared" si="15"/>
        <v/>
      </c>
      <c r="AB72" s="29"/>
      <c r="AC72" s="44"/>
      <c r="AD72" s="27"/>
    </row>
    <row r="73" spans="1:30" x14ac:dyDescent="0.35">
      <c r="A73" s="1"/>
      <c r="B73" s="24">
        <f t="shared" si="3"/>
        <v>64</v>
      </c>
      <c r="C73" s="32"/>
      <c r="D73" s="33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9"/>
      <c r="AA73" s="30" t="str">
        <f t="shared" si="15"/>
        <v/>
      </c>
      <c r="AB73" s="29"/>
      <c r="AC73" s="44"/>
      <c r="AD73" s="1"/>
    </row>
    <row r="74" spans="1:30" x14ac:dyDescent="0.35">
      <c r="A74" s="1"/>
      <c r="B74" s="24">
        <f t="shared" si="3"/>
        <v>65</v>
      </c>
      <c r="C74" s="32"/>
      <c r="D74" s="33"/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9"/>
      <c r="AA74" s="30" t="str">
        <f t="shared" si="15"/>
        <v/>
      </c>
      <c r="AB74" s="29"/>
      <c r="AC74" s="44"/>
      <c r="AD74" s="29"/>
    </row>
    <row r="75" spans="1:30" x14ac:dyDescent="0.35">
      <c r="A75" s="1"/>
      <c r="B75" s="24">
        <f t="shared" si="3"/>
        <v>66</v>
      </c>
      <c r="C75" s="32"/>
      <c r="D75" s="33"/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9"/>
      <c r="AA75" s="30" t="str">
        <f t="shared" si="15"/>
        <v/>
      </c>
      <c r="AB75" s="29"/>
      <c r="AC75" s="44"/>
      <c r="AD75" s="27"/>
    </row>
    <row r="76" spans="1:30" x14ac:dyDescent="0.35">
      <c r="A76" s="1"/>
      <c r="B76" s="24">
        <f t="shared" si="3"/>
        <v>67</v>
      </c>
      <c r="C76" s="32"/>
      <c r="D76" s="33"/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9"/>
      <c r="AA76" s="30" t="str">
        <f t="shared" si="15"/>
        <v/>
      </c>
      <c r="AB76" s="29"/>
      <c r="AC76" s="44"/>
      <c r="AD76" s="1"/>
    </row>
    <row r="77" spans="1:30" x14ac:dyDescent="0.35">
      <c r="A77" s="1"/>
      <c r="B77" s="24">
        <f t="shared" si="3"/>
        <v>68</v>
      </c>
      <c r="C77" s="32"/>
      <c r="D77" s="33"/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9"/>
      <c r="AA77" s="30" t="str">
        <f t="shared" si="15"/>
        <v/>
      </c>
      <c r="AB77" s="29"/>
      <c r="AC77" s="44"/>
      <c r="AD77" s="29"/>
    </row>
    <row r="78" spans="1:30" x14ac:dyDescent="0.35">
      <c r="A78" s="1"/>
      <c r="B78" s="24">
        <f t="shared" ref="B78:B112" si="16">+B77+1</f>
        <v>69</v>
      </c>
      <c r="C78" s="32"/>
      <c r="D78" s="33"/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9"/>
      <c r="AA78" s="30" t="str">
        <f t="shared" si="15"/>
        <v/>
      </c>
      <c r="AB78" s="29"/>
      <c r="AC78" s="44"/>
      <c r="AD78" s="27"/>
    </row>
    <row r="79" spans="1:30" x14ac:dyDescent="0.35">
      <c r="A79" s="1"/>
      <c r="B79" s="24">
        <f t="shared" si="16"/>
        <v>70</v>
      </c>
      <c r="C79" s="32"/>
      <c r="D79" s="33"/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9"/>
      <c r="AA79" s="30" t="str">
        <f t="shared" si="15"/>
        <v/>
      </c>
      <c r="AB79" s="29"/>
      <c r="AC79" s="44"/>
      <c r="AD79" s="1"/>
    </row>
    <row r="80" spans="1:30" x14ac:dyDescent="0.35">
      <c r="A80" s="1"/>
      <c r="B80" s="24">
        <f t="shared" si="16"/>
        <v>71</v>
      </c>
      <c r="C80" s="32"/>
      <c r="D80" s="33"/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9"/>
      <c r="AA80" s="30" t="str">
        <f t="shared" ref="AA80:AA99" si="17">IF(OR(C80&lt;&gt;"",D80&lt;&gt;""),SUM(F80:Y80),"")</f>
        <v/>
      </c>
      <c r="AB80" s="29"/>
      <c r="AC80" s="44"/>
      <c r="AD80" s="29"/>
    </row>
    <row r="81" spans="1:30" x14ac:dyDescent="0.35">
      <c r="A81" s="1"/>
      <c r="B81" s="24">
        <f t="shared" si="16"/>
        <v>72</v>
      </c>
      <c r="C81" s="32"/>
      <c r="D81" s="33"/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9"/>
      <c r="AA81" s="30" t="str">
        <f t="shared" si="17"/>
        <v/>
      </c>
      <c r="AB81" s="29"/>
      <c r="AC81" s="44"/>
      <c r="AD81" s="27"/>
    </row>
    <row r="82" spans="1:30" x14ac:dyDescent="0.35">
      <c r="A82" s="1"/>
      <c r="B82" s="24">
        <f t="shared" si="16"/>
        <v>73</v>
      </c>
      <c r="C82" s="32"/>
      <c r="D82" s="33"/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9"/>
      <c r="AA82" s="30" t="str">
        <f t="shared" si="17"/>
        <v/>
      </c>
      <c r="AB82" s="29"/>
      <c r="AC82" s="44"/>
      <c r="AD82" s="1"/>
    </row>
    <row r="83" spans="1:30" x14ac:dyDescent="0.35">
      <c r="A83" s="1"/>
      <c r="B83" s="24">
        <f t="shared" si="16"/>
        <v>74</v>
      </c>
      <c r="C83" s="32"/>
      <c r="D83" s="33"/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9"/>
      <c r="AA83" s="30" t="str">
        <f t="shared" si="17"/>
        <v/>
      </c>
      <c r="AB83" s="29"/>
      <c r="AC83" s="44"/>
      <c r="AD83" s="29"/>
    </row>
    <row r="84" spans="1:30" x14ac:dyDescent="0.35">
      <c r="A84" s="1"/>
      <c r="B84" s="24">
        <f t="shared" si="16"/>
        <v>75</v>
      </c>
      <c r="C84" s="32"/>
      <c r="D84" s="33"/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9"/>
      <c r="AA84" s="30" t="str">
        <f t="shared" si="17"/>
        <v/>
      </c>
      <c r="AB84" s="29"/>
      <c r="AC84" s="44"/>
      <c r="AD84" s="27"/>
    </row>
    <row r="85" spans="1:30" x14ac:dyDescent="0.35">
      <c r="A85" s="1"/>
      <c r="B85" s="24">
        <f t="shared" si="16"/>
        <v>76</v>
      </c>
      <c r="C85" s="32"/>
      <c r="D85" s="33"/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9"/>
      <c r="AA85" s="30" t="str">
        <f t="shared" si="17"/>
        <v/>
      </c>
      <c r="AB85" s="29"/>
      <c r="AC85" s="44"/>
      <c r="AD85" s="1"/>
    </row>
    <row r="86" spans="1:30" x14ac:dyDescent="0.35">
      <c r="A86" s="1"/>
      <c r="B86" s="24">
        <f t="shared" si="16"/>
        <v>77</v>
      </c>
      <c r="C86" s="32"/>
      <c r="D86" s="33"/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9"/>
      <c r="AA86" s="30" t="str">
        <f t="shared" si="17"/>
        <v/>
      </c>
      <c r="AB86" s="29"/>
      <c r="AC86" s="44"/>
      <c r="AD86" s="29"/>
    </row>
    <row r="87" spans="1:30" x14ac:dyDescent="0.35">
      <c r="A87" s="1"/>
      <c r="B87" s="24">
        <f t="shared" si="16"/>
        <v>78</v>
      </c>
      <c r="C87" s="32"/>
      <c r="D87" s="33"/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9"/>
      <c r="AA87" s="30" t="str">
        <f t="shared" si="17"/>
        <v/>
      </c>
      <c r="AB87" s="29"/>
      <c r="AC87" s="44"/>
      <c r="AD87" s="27"/>
    </row>
    <row r="88" spans="1:30" x14ac:dyDescent="0.35">
      <c r="A88" s="1"/>
      <c r="B88" s="24">
        <f t="shared" si="16"/>
        <v>79</v>
      </c>
      <c r="C88" s="32"/>
      <c r="D88" s="33"/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9"/>
      <c r="AA88" s="30" t="str">
        <f t="shared" si="17"/>
        <v/>
      </c>
      <c r="AB88" s="29"/>
      <c r="AC88" s="44"/>
      <c r="AD88" s="1"/>
    </row>
    <row r="89" spans="1:30" x14ac:dyDescent="0.35">
      <c r="A89" s="1"/>
      <c r="B89" s="24">
        <f t="shared" si="16"/>
        <v>80</v>
      </c>
      <c r="C89" s="32"/>
      <c r="D89" s="33"/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9"/>
      <c r="AA89" s="30" t="str">
        <f t="shared" si="17"/>
        <v/>
      </c>
      <c r="AB89" s="29"/>
      <c r="AC89" s="44"/>
      <c r="AD89" s="29"/>
    </row>
    <row r="90" spans="1:30" x14ac:dyDescent="0.35">
      <c r="A90" s="1"/>
      <c r="B90" s="24">
        <f t="shared" si="16"/>
        <v>81</v>
      </c>
      <c r="C90" s="32"/>
      <c r="D90" s="33"/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9"/>
      <c r="AA90" s="30" t="str">
        <f t="shared" si="17"/>
        <v/>
      </c>
      <c r="AB90" s="29"/>
      <c r="AC90" s="44"/>
      <c r="AD90" s="27"/>
    </row>
    <row r="91" spans="1:30" x14ac:dyDescent="0.35">
      <c r="A91" s="1"/>
      <c r="B91" s="24">
        <f t="shared" si="16"/>
        <v>82</v>
      </c>
      <c r="C91" s="32"/>
      <c r="D91" s="33"/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9"/>
      <c r="AA91" s="30" t="str">
        <f t="shared" si="17"/>
        <v/>
      </c>
      <c r="AB91" s="29"/>
      <c r="AC91" s="44"/>
      <c r="AD91" s="1"/>
    </row>
    <row r="92" spans="1:30" x14ac:dyDescent="0.35">
      <c r="A92" s="1"/>
      <c r="B92" s="24">
        <f t="shared" si="16"/>
        <v>83</v>
      </c>
      <c r="C92" s="32"/>
      <c r="D92" s="33"/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  <c r="AA92" s="30" t="str">
        <f t="shared" si="17"/>
        <v/>
      </c>
      <c r="AB92" s="29"/>
      <c r="AC92" s="44"/>
      <c r="AD92" s="29"/>
    </row>
    <row r="93" spans="1:30" x14ac:dyDescent="0.35">
      <c r="A93" s="1"/>
      <c r="B93" s="24">
        <f t="shared" si="16"/>
        <v>84</v>
      </c>
      <c r="C93" s="32"/>
      <c r="D93" s="33"/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9"/>
      <c r="AA93" s="30" t="str">
        <f t="shared" si="17"/>
        <v/>
      </c>
      <c r="AB93" s="29"/>
      <c r="AC93" s="44"/>
      <c r="AD93" s="27"/>
    </row>
    <row r="94" spans="1:30" x14ac:dyDescent="0.35">
      <c r="A94" s="1"/>
      <c r="B94" s="24">
        <f t="shared" si="16"/>
        <v>85</v>
      </c>
      <c r="C94" s="32"/>
      <c r="D94" s="33"/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9"/>
      <c r="AA94" s="30" t="str">
        <f t="shared" si="17"/>
        <v/>
      </c>
      <c r="AB94" s="29"/>
      <c r="AC94" s="44"/>
      <c r="AD94" s="1"/>
    </row>
    <row r="95" spans="1:30" x14ac:dyDescent="0.35">
      <c r="A95" s="1"/>
      <c r="B95" s="24">
        <f t="shared" si="16"/>
        <v>86</v>
      </c>
      <c r="C95" s="32"/>
      <c r="D95" s="33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9"/>
      <c r="AA95" s="30" t="str">
        <f t="shared" si="17"/>
        <v/>
      </c>
      <c r="AB95" s="29"/>
      <c r="AC95" s="44"/>
      <c r="AD95" s="29"/>
    </row>
    <row r="96" spans="1:30" x14ac:dyDescent="0.35">
      <c r="A96" s="1"/>
      <c r="B96" s="24">
        <f t="shared" si="16"/>
        <v>87</v>
      </c>
      <c r="C96" s="32"/>
      <c r="D96" s="33"/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9"/>
      <c r="AA96" s="30" t="str">
        <f t="shared" si="17"/>
        <v/>
      </c>
      <c r="AB96" s="29"/>
      <c r="AC96" s="44"/>
      <c r="AD96" s="27"/>
    </row>
    <row r="97" spans="1:30" x14ac:dyDescent="0.35">
      <c r="A97" s="1"/>
      <c r="B97" s="24">
        <f t="shared" si="16"/>
        <v>88</v>
      </c>
      <c r="C97" s="32"/>
      <c r="D97" s="33"/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9"/>
      <c r="AA97" s="30" t="str">
        <f t="shared" si="17"/>
        <v/>
      </c>
      <c r="AB97" s="29"/>
      <c r="AC97" s="44"/>
      <c r="AD97" s="1"/>
    </row>
    <row r="98" spans="1:30" x14ac:dyDescent="0.35">
      <c r="A98" s="1"/>
      <c r="B98" s="24">
        <f t="shared" si="16"/>
        <v>89</v>
      </c>
      <c r="C98" s="32"/>
      <c r="D98" s="33"/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9"/>
      <c r="AA98" s="30" t="str">
        <f t="shared" si="17"/>
        <v/>
      </c>
      <c r="AB98" s="29"/>
      <c r="AC98" s="44"/>
      <c r="AD98" s="29"/>
    </row>
    <row r="99" spans="1:30" x14ac:dyDescent="0.35">
      <c r="A99" s="1"/>
      <c r="B99" s="24">
        <f t="shared" si="16"/>
        <v>90</v>
      </c>
      <c r="C99" s="32"/>
      <c r="D99" s="33"/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9"/>
      <c r="AA99" s="30" t="str">
        <f t="shared" si="17"/>
        <v/>
      </c>
      <c r="AB99" s="29"/>
      <c r="AC99" s="44"/>
      <c r="AD99" s="27"/>
    </row>
    <row r="100" spans="1:30" x14ac:dyDescent="0.35">
      <c r="A100" s="1"/>
      <c r="B100" s="24">
        <f t="shared" si="16"/>
        <v>91</v>
      </c>
      <c r="C100" s="32"/>
      <c r="D100" s="33"/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9"/>
      <c r="AA100" s="30" t="str">
        <f t="shared" ref="AA100:AA120" si="18">IF(OR(C100&lt;&gt;"",D100&lt;&gt;""),SUM(F100:Y100),"")</f>
        <v/>
      </c>
      <c r="AB100" s="29"/>
      <c r="AC100" s="44"/>
      <c r="AD100" s="27"/>
    </row>
    <row r="101" spans="1:30" x14ac:dyDescent="0.35">
      <c r="A101" s="1"/>
      <c r="B101" s="24">
        <f t="shared" si="16"/>
        <v>92</v>
      </c>
      <c r="C101" s="32"/>
      <c r="D101" s="33"/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9"/>
      <c r="AA101" s="30" t="str">
        <f t="shared" si="18"/>
        <v/>
      </c>
      <c r="AB101" s="29"/>
      <c r="AC101" s="44"/>
      <c r="AD101" s="27"/>
    </row>
    <row r="102" spans="1:30" x14ac:dyDescent="0.35">
      <c r="A102" s="1"/>
      <c r="B102" s="24">
        <f t="shared" si="16"/>
        <v>93</v>
      </c>
      <c r="C102" s="32"/>
      <c r="D102" s="33"/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30" t="str">
        <f t="shared" si="18"/>
        <v/>
      </c>
      <c r="AB102" s="29"/>
      <c r="AC102" s="44"/>
      <c r="AD102" s="27"/>
    </row>
    <row r="103" spans="1:30" x14ac:dyDescent="0.35">
      <c r="A103" s="1"/>
      <c r="B103" s="24">
        <f t="shared" si="16"/>
        <v>94</v>
      </c>
      <c r="C103" s="32"/>
      <c r="D103" s="33"/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9"/>
      <c r="AA103" s="30" t="str">
        <f t="shared" si="18"/>
        <v/>
      </c>
      <c r="AB103" s="29"/>
      <c r="AC103" s="44"/>
      <c r="AD103" s="27"/>
    </row>
    <row r="104" spans="1:30" x14ac:dyDescent="0.35">
      <c r="A104" s="1"/>
      <c r="B104" s="24">
        <f t="shared" si="16"/>
        <v>95</v>
      </c>
      <c r="C104" s="32"/>
      <c r="D104" s="33"/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9"/>
      <c r="AA104" s="30" t="str">
        <f t="shared" si="18"/>
        <v/>
      </c>
      <c r="AB104" s="29"/>
      <c r="AC104" s="44"/>
      <c r="AD104" s="27"/>
    </row>
    <row r="105" spans="1:30" x14ac:dyDescent="0.35">
      <c r="A105" s="1"/>
      <c r="B105" s="24">
        <f t="shared" si="16"/>
        <v>96</v>
      </c>
      <c r="C105" s="32"/>
      <c r="D105" s="33"/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30" t="str">
        <f t="shared" si="18"/>
        <v/>
      </c>
      <c r="AB105" s="29"/>
      <c r="AC105" s="44"/>
      <c r="AD105" s="27"/>
    </row>
    <row r="106" spans="1:30" x14ac:dyDescent="0.35">
      <c r="A106" s="1"/>
      <c r="B106" s="24">
        <f t="shared" si="16"/>
        <v>97</v>
      </c>
      <c r="C106" s="32"/>
      <c r="D106" s="33"/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9"/>
      <c r="AA106" s="30" t="str">
        <f t="shared" si="18"/>
        <v/>
      </c>
      <c r="AB106" s="29"/>
      <c r="AC106" s="44"/>
      <c r="AD106" s="27"/>
    </row>
    <row r="107" spans="1:30" x14ac:dyDescent="0.35">
      <c r="A107" s="1"/>
      <c r="B107" s="24">
        <f t="shared" si="16"/>
        <v>98</v>
      </c>
      <c r="C107" s="32"/>
      <c r="D107" s="33"/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9"/>
      <c r="AA107" s="30" t="str">
        <f t="shared" si="18"/>
        <v/>
      </c>
      <c r="AB107" s="29"/>
      <c r="AC107" s="44"/>
      <c r="AD107" s="27"/>
    </row>
    <row r="108" spans="1:30" x14ac:dyDescent="0.35">
      <c r="A108" s="1"/>
      <c r="B108" s="24">
        <f t="shared" si="16"/>
        <v>99</v>
      </c>
      <c r="C108" s="32"/>
      <c r="D108" s="33"/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9"/>
      <c r="AA108" s="30" t="str">
        <f t="shared" si="18"/>
        <v/>
      </c>
      <c r="AB108" s="29"/>
      <c r="AC108" s="44"/>
      <c r="AD108" s="27"/>
    </row>
    <row r="109" spans="1:30" x14ac:dyDescent="0.35">
      <c r="A109" s="1"/>
      <c r="B109" s="24">
        <f t="shared" si="16"/>
        <v>100</v>
      </c>
      <c r="C109" s="32"/>
      <c r="D109" s="33"/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9"/>
      <c r="AA109" s="30" t="str">
        <f t="shared" si="18"/>
        <v/>
      </c>
      <c r="AB109" s="29"/>
      <c r="AC109" s="44"/>
      <c r="AD109" s="27"/>
    </row>
    <row r="110" spans="1:30" x14ac:dyDescent="0.35">
      <c r="A110" s="1"/>
      <c r="B110" s="24">
        <f t="shared" si="16"/>
        <v>101</v>
      </c>
      <c r="C110" s="32"/>
      <c r="D110" s="33"/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9"/>
      <c r="AA110" s="30" t="str">
        <f t="shared" si="18"/>
        <v/>
      </c>
      <c r="AB110" s="29"/>
      <c r="AC110" s="44"/>
      <c r="AD110" s="27"/>
    </row>
    <row r="111" spans="1:30" x14ac:dyDescent="0.35">
      <c r="A111" s="1"/>
      <c r="B111" s="24">
        <f t="shared" si="16"/>
        <v>102</v>
      </c>
      <c r="C111" s="32"/>
      <c r="D111" s="33"/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9"/>
      <c r="AA111" s="30" t="str">
        <f t="shared" si="18"/>
        <v/>
      </c>
      <c r="AB111" s="29"/>
      <c r="AC111" s="44"/>
      <c r="AD111" s="27"/>
    </row>
    <row r="112" spans="1:30" x14ac:dyDescent="0.35">
      <c r="A112" s="1"/>
      <c r="B112" s="24">
        <f t="shared" si="16"/>
        <v>103</v>
      </c>
      <c r="C112" s="32"/>
      <c r="D112" s="33"/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9"/>
      <c r="AA112" s="30" t="str">
        <f t="shared" si="18"/>
        <v/>
      </c>
      <c r="AB112" s="29"/>
      <c r="AC112" s="44"/>
      <c r="AD112" s="27"/>
    </row>
    <row r="113" spans="1:30" x14ac:dyDescent="0.35">
      <c r="A113" s="1"/>
      <c r="B113" s="24">
        <v>93</v>
      </c>
      <c r="C113" s="32"/>
      <c r="D113" s="33"/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9"/>
      <c r="AA113" s="30" t="str">
        <f t="shared" si="18"/>
        <v/>
      </c>
      <c r="AB113" s="29"/>
      <c r="AC113" s="44"/>
      <c r="AD113" s="27"/>
    </row>
    <row r="114" spans="1:30" x14ac:dyDescent="0.35">
      <c r="A114" s="1"/>
      <c r="B114" s="24">
        <v>94</v>
      </c>
      <c r="C114" s="32"/>
      <c r="D114" s="33"/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9"/>
      <c r="AA114" s="30" t="str">
        <f t="shared" si="18"/>
        <v/>
      </c>
      <c r="AB114" s="29"/>
      <c r="AC114" s="44"/>
      <c r="AD114" s="27"/>
    </row>
    <row r="115" spans="1:30" x14ac:dyDescent="0.35">
      <c r="A115" s="1"/>
      <c r="B115" s="24">
        <v>95</v>
      </c>
      <c r="C115" s="32"/>
      <c r="D115" s="33"/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9"/>
      <c r="AA115" s="30" t="str">
        <f t="shared" si="18"/>
        <v/>
      </c>
      <c r="AB115" s="29"/>
      <c r="AC115" s="44"/>
      <c r="AD115" s="27"/>
    </row>
    <row r="116" spans="1:30" x14ac:dyDescent="0.35">
      <c r="A116" s="1"/>
      <c r="B116" s="24">
        <v>96</v>
      </c>
      <c r="C116" s="32"/>
      <c r="D116" s="33"/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9"/>
      <c r="AA116" s="30" t="str">
        <f t="shared" si="18"/>
        <v/>
      </c>
      <c r="AB116" s="29"/>
      <c r="AC116" s="44"/>
      <c r="AD116" s="27"/>
    </row>
    <row r="117" spans="1:30" x14ac:dyDescent="0.35">
      <c r="A117" s="1"/>
      <c r="B117" s="24">
        <v>97</v>
      </c>
      <c r="C117" s="32"/>
      <c r="D117" s="33"/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9"/>
      <c r="AA117" s="30" t="str">
        <f t="shared" si="18"/>
        <v/>
      </c>
      <c r="AB117" s="29"/>
      <c r="AC117" s="44"/>
      <c r="AD117" s="27"/>
    </row>
    <row r="118" spans="1:30" x14ac:dyDescent="0.35">
      <c r="A118" s="1"/>
      <c r="B118" s="24">
        <v>98</v>
      </c>
      <c r="C118" s="32"/>
      <c r="D118" s="33"/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9"/>
      <c r="AA118" s="30" t="str">
        <f t="shared" si="18"/>
        <v/>
      </c>
      <c r="AB118" s="29"/>
      <c r="AC118" s="44"/>
      <c r="AD118" s="27"/>
    </row>
    <row r="119" spans="1:30" x14ac:dyDescent="0.35">
      <c r="A119" s="1"/>
      <c r="B119" s="24">
        <v>99</v>
      </c>
      <c r="C119" s="32"/>
      <c r="D119" s="33"/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9"/>
      <c r="AA119" s="30" t="str">
        <f t="shared" si="18"/>
        <v/>
      </c>
      <c r="AB119" s="29"/>
      <c r="AC119" s="44"/>
      <c r="AD119" s="27"/>
    </row>
    <row r="120" spans="1:30" x14ac:dyDescent="0.35">
      <c r="A120" s="1"/>
      <c r="B120" s="24">
        <v>100</v>
      </c>
      <c r="C120" s="32"/>
      <c r="D120" s="33"/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9"/>
      <c r="AA120" s="30" t="str">
        <f t="shared" si="18"/>
        <v/>
      </c>
      <c r="AB120" s="29"/>
      <c r="AC120" s="44"/>
      <c r="AD120" s="1"/>
    </row>
    <row r="121" spans="1:30" x14ac:dyDescent="0.35">
      <c r="A121" s="1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9"/>
      <c r="AA121" s="29"/>
      <c r="AB121" s="29"/>
      <c r="AC121" s="29"/>
      <c r="AD121" s="29"/>
    </row>
    <row r="122" spans="1:30" x14ac:dyDescent="0.35">
      <c r="A122" s="1"/>
      <c r="B122" s="27"/>
      <c r="C122" s="27"/>
      <c r="D122" s="27"/>
      <c r="E122" s="27"/>
      <c r="F122" s="30">
        <f t="shared" ref="F122:Y122" si="19">IF(SUM(F9:F120)&lt;&gt;0,SUM(F9:F120),"")</f>
        <v>1200</v>
      </c>
      <c r="G122" s="30">
        <f t="shared" si="19"/>
        <v>1000</v>
      </c>
      <c r="H122" s="30">
        <f t="shared" si="19"/>
        <v>800</v>
      </c>
      <c r="I122" s="30">
        <f t="shared" si="19"/>
        <v>1520</v>
      </c>
      <c r="J122" s="30">
        <f t="shared" si="19"/>
        <v>1520</v>
      </c>
      <c r="K122" s="30" t="str">
        <f t="shared" si="19"/>
        <v/>
      </c>
      <c r="L122" s="30" t="str">
        <f t="shared" si="19"/>
        <v/>
      </c>
      <c r="M122" s="30" t="str">
        <f t="shared" si="19"/>
        <v/>
      </c>
      <c r="N122" s="30" t="str">
        <f t="shared" si="19"/>
        <v/>
      </c>
      <c r="O122" s="30" t="str">
        <f t="shared" si="19"/>
        <v/>
      </c>
      <c r="P122" s="30" t="str">
        <f t="shared" si="19"/>
        <v/>
      </c>
      <c r="Q122" s="30" t="str">
        <f t="shared" si="19"/>
        <v/>
      </c>
      <c r="R122" s="30" t="str">
        <f t="shared" si="19"/>
        <v/>
      </c>
      <c r="S122" s="30" t="str">
        <f t="shared" si="19"/>
        <v/>
      </c>
      <c r="T122" s="30" t="str">
        <f t="shared" si="19"/>
        <v/>
      </c>
      <c r="U122" s="30" t="str">
        <f t="shared" si="19"/>
        <v/>
      </c>
      <c r="V122" s="30" t="str">
        <f t="shared" si="19"/>
        <v/>
      </c>
      <c r="W122" s="30" t="str">
        <f t="shared" si="19"/>
        <v/>
      </c>
      <c r="X122" s="30" t="str">
        <f t="shared" si="19"/>
        <v/>
      </c>
      <c r="Y122" s="30" t="str">
        <f t="shared" si="19"/>
        <v/>
      </c>
      <c r="Z122" s="27"/>
      <c r="AA122" s="27"/>
      <c r="AB122" s="27"/>
      <c r="AC122" s="27"/>
      <c r="AD122" s="27"/>
    </row>
    <row r="123" spans="1:30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</sheetData>
  <dataConsolidate/>
  <mergeCells count="1">
    <mergeCell ref="F6:Y6"/>
  </mergeCells>
  <conditionalFormatting sqref="AA9:AA120">
    <cfRule type="expression" dxfId="4" priority="4">
      <formula>$C9&lt;&gt;""</formula>
    </cfRule>
  </conditionalFormatting>
  <conditionalFormatting sqref="F122:Y122">
    <cfRule type="expression" dxfId="3" priority="3">
      <formula>$C122&lt;&gt;""</formula>
    </cfRule>
  </conditionalFormatting>
  <conditionalFormatting sqref="F9:Z9 F10:Y120">
    <cfRule type="cellIs" dxfId="2" priority="2" operator="equal">
      <formula>0</formula>
    </cfRule>
    <cfRule type="expression" dxfId="1" priority="6">
      <formula>$C9&lt;&gt;""</formula>
    </cfRule>
  </conditionalFormatting>
  <conditionalFormatting sqref="B9:D120">
    <cfRule type="expression" dxfId="0" priority="1">
      <formula>$C9&lt;&gt;""</formula>
    </cfRule>
  </conditionalFormatting>
  <pageMargins left="0.70866141732283472" right="0.70866141732283472" top="0.74803149606299213" bottom="0.74803149606299213" header="0.31496062992125984" footer="0.31496062992125984"/>
  <pageSetup paperSize="8" scale="45" orientation="landscape" r:id="rId1"/>
  <ignoredErrors>
    <ignoredError sqref="K22:Y22 K10:Y12 K15:Y1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96"/>
  <sheetViews>
    <sheetView showGridLines="0" tabSelected="1" workbookViewId="0">
      <pane xSplit="2" ySplit="8" topLeftCell="C15" activePane="bottomRight" state="frozenSplit"/>
      <selection activeCell="D11" sqref="D11"/>
      <selection pane="topRight" activeCell="P28" sqref="P28"/>
      <selection pane="bottomLeft" activeCell="A8" sqref="A8"/>
      <selection pane="bottomRight" activeCell="C13" sqref="C13"/>
    </sheetView>
  </sheetViews>
  <sheetFormatPr baseColWidth="10" defaultColWidth="11.453125" defaultRowHeight="14.5" x14ac:dyDescent="0.35"/>
  <cols>
    <col min="1" max="1" width="1.6328125" style="4" customWidth="1"/>
    <col min="2" max="2" width="11.1796875" style="4" bestFit="1" customWidth="1"/>
    <col min="3" max="3" width="66.81640625" style="4" customWidth="1"/>
    <col min="4" max="4" width="45.453125" style="4" customWidth="1"/>
    <col min="5" max="5" width="11.81640625" style="4" bestFit="1" customWidth="1"/>
    <col min="6" max="6" width="15.6328125" style="4" customWidth="1"/>
    <col min="7" max="7" width="13.36328125" style="4" customWidth="1"/>
    <col min="8" max="8" width="70" style="4" customWidth="1"/>
    <col min="9" max="9" width="41.6328125" style="4" customWidth="1"/>
    <col min="10" max="21" width="7.1796875" style="4" customWidth="1"/>
    <col min="22" max="22" width="41.6328125" style="4" customWidth="1"/>
    <col min="23" max="23" width="1.453125" style="4" customWidth="1"/>
    <col min="24" max="16384" width="11.453125" style="4"/>
  </cols>
  <sheetData>
    <row r="1" spans="1:23" ht="21" x14ac:dyDescent="0.5">
      <c r="A1" s="1"/>
      <c r="B1" s="2" t="s">
        <v>38</v>
      </c>
      <c r="C1" s="2"/>
      <c r="D1" s="3"/>
      <c r="E1" s="3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1"/>
      <c r="W1" s="1"/>
    </row>
    <row r="2" spans="1:23" ht="38.25" customHeight="1" x14ac:dyDescent="0.35">
      <c r="A2" s="1"/>
      <c r="B2" s="16" t="s">
        <v>2</v>
      </c>
      <c r="C2" s="42" t="str">
        <f>'Horas comprometidas activdad'!D2</f>
        <v>ANÁLISIS DE RECURSOS HÍDRICOS EN CUENCAS DE LA REGIÓN DE MAGALLANES Y DE LA ANTÁRTICA CHILENA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"/>
      <c r="W2" s="1"/>
    </row>
    <row r="3" spans="1:23" ht="15.5" x14ac:dyDescent="0.35">
      <c r="A3" s="1"/>
      <c r="B3" s="5" t="s">
        <v>4</v>
      </c>
      <c r="C3" s="43" t="str">
        <f>+'Horas comprometidas activdad'!D3</f>
        <v>IDIEM, UNIVERSIDAD DE CHILE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1"/>
      <c r="W3" s="1"/>
    </row>
    <row r="4" spans="1:23" ht="21" customHeight="1" x14ac:dyDescent="0.35">
      <c r="A4" s="1"/>
      <c r="B4" s="5" t="s">
        <v>3</v>
      </c>
      <c r="C4" s="49">
        <f ca="1">+'Horas comprometidas activdad'!D4</f>
        <v>45889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38"/>
      <c r="W4" s="1"/>
    </row>
    <row r="5" spans="1:23" ht="7.5" customHeight="1" x14ac:dyDescent="0.5">
      <c r="A5" s="1"/>
      <c r="B5" s="7"/>
      <c r="C5" s="2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7"/>
      <c r="W5" s="1"/>
    </row>
    <row r="6" spans="1:23" x14ac:dyDescent="0.35">
      <c r="A6" s="1"/>
      <c r="B6" s="39" t="s">
        <v>5</v>
      </c>
      <c r="C6" s="45" t="s">
        <v>24</v>
      </c>
      <c r="D6" s="45" t="s">
        <v>36</v>
      </c>
      <c r="E6" s="55" t="s">
        <v>25</v>
      </c>
      <c r="F6" s="56"/>
      <c r="G6" s="40" t="s">
        <v>7</v>
      </c>
      <c r="H6" s="40" t="s">
        <v>28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3" ht="15" customHeight="1" x14ac:dyDescent="0.35">
      <c r="A7" s="1"/>
      <c r="B7" s="41"/>
      <c r="C7" s="46"/>
      <c r="D7" s="46"/>
      <c r="E7" s="15" t="s">
        <v>26</v>
      </c>
      <c r="F7" s="15" t="s">
        <v>27</v>
      </c>
      <c r="G7" s="41"/>
      <c r="H7" s="4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3" ht="7.5" customHeight="1" x14ac:dyDescent="0.35">
      <c r="A8" s="1"/>
      <c r="B8" s="27"/>
      <c r="C8" s="27"/>
      <c r="D8" s="27"/>
      <c r="E8" s="27"/>
      <c r="F8" s="27"/>
      <c r="G8" s="27"/>
      <c r="H8" s="2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3" x14ac:dyDescent="0.35">
      <c r="A9" s="1"/>
      <c r="B9" s="30" t="s">
        <v>9</v>
      </c>
      <c r="C9" s="31" t="s">
        <v>84</v>
      </c>
      <c r="D9" s="31" t="s">
        <v>69</v>
      </c>
      <c r="E9" s="31">
        <f>+'Horas comprometidas activdad'!F122/2</f>
        <v>600</v>
      </c>
      <c r="F9" s="28">
        <v>2000</v>
      </c>
      <c r="G9" s="30">
        <f>IF(C9&lt;&gt;"",SUM(E9:F9),"")</f>
        <v>2600</v>
      </c>
      <c r="H9" s="4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3" x14ac:dyDescent="0.35">
      <c r="A10" s="1"/>
      <c r="B10" s="30" t="s">
        <v>10</v>
      </c>
      <c r="C10" s="31" t="s">
        <v>64</v>
      </c>
      <c r="D10" s="31" t="s">
        <v>70</v>
      </c>
      <c r="E10" s="31">
        <f>+'Horas comprometidas activdad'!G122/2</f>
        <v>500</v>
      </c>
      <c r="F10" s="28">
        <v>2500</v>
      </c>
      <c r="G10" s="30">
        <f t="shared" ref="G10:G13" si="0">IF(C10&lt;&gt;"",SUM(E10:F10),"")</f>
        <v>3000</v>
      </c>
      <c r="H10" s="4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35">
      <c r="A11" s="1"/>
      <c r="B11" s="30" t="s">
        <v>11</v>
      </c>
      <c r="C11" s="31" t="s">
        <v>65</v>
      </c>
      <c r="D11" s="31" t="s">
        <v>71</v>
      </c>
      <c r="E11" s="31">
        <f>+'Horas comprometidas activdad'!H122/2</f>
        <v>400</v>
      </c>
      <c r="F11" s="28">
        <v>500</v>
      </c>
      <c r="G11" s="30">
        <f t="shared" si="0"/>
        <v>900</v>
      </c>
      <c r="H11" s="4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3" x14ac:dyDescent="0.35">
      <c r="A12" s="1"/>
      <c r="B12" s="30" t="s">
        <v>12</v>
      </c>
      <c r="C12" s="31" t="s">
        <v>85</v>
      </c>
      <c r="D12" s="31" t="s">
        <v>67</v>
      </c>
      <c r="E12" s="31">
        <f>+'Horas comprometidas activdad'!I122/2</f>
        <v>760</v>
      </c>
      <c r="F12" s="28">
        <v>300</v>
      </c>
      <c r="G12" s="30">
        <f t="shared" si="0"/>
        <v>1060</v>
      </c>
      <c r="H12" s="4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3" x14ac:dyDescent="0.35">
      <c r="A13" s="1"/>
      <c r="B13" s="30" t="s">
        <v>13</v>
      </c>
      <c r="C13" s="31" t="s">
        <v>66</v>
      </c>
      <c r="D13" s="31" t="s">
        <v>68</v>
      </c>
      <c r="E13" s="31">
        <f>+'Horas comprometidas activdad'!J122/2</f>
        <v>760</v>
      </c>
      <c r="F13" s="28">
        <v>2300</v>
      </c>
      <c r="G13" s="30">
        <f t="shared" si="0"/>
        <v>3060</v>
      </c>
      <c r="H13" s="4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3" x14ac:dyDescent="0.35">
      <c r="A14" s="1"/>
      <c r="B14" s="30" t="s">
        <v>14</v>
      </c>
      <c r="C14" s="31"/>
      <c r="D14" s="31"/>
      <c r="E14" s="31"/>
      <c r="F14" s="28"/>
      <c r="G14" s="30" t="str">
        <f t="shared" ref="G14:G20" si="1">IF(C14&lt;&gt;"",SUM(F14:F14),"")</f>
        <v/>
      </c>
      <c r="H14" s="4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3" x14ac:dyDescent="0.35">
      <c r="A15" s="1"/>
      <c r="B15" s="30" t="s">
        <v>15</v>
      </c>
      <c r="C15" s="31"/>
      <c r="D15" s="31"/>
      <c r="E15" s="31"/>
      <c r="F15" s="28"/>
      <c r="G15" s="30" t="str">
        <f t="shared" si="1"/>
        <v/>
      </c>
      <c r="H15" s="4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3" x14ac:dyDescent="0.35">
      <c r="A16" s="1"/>
      <c r="B16" s="30" t="s">
        <v>16</v>
      </c>
      <c r="C16" s="31"/>
      <c r="D16" s="31"/>
      <c r="E16" s="31"/>
      <c r="F16" s="28"/>
      <c r="G16" s="30" t="str">
        <f t="shared" si="1"/>
        <v/>
      </c>
      <c r="H16" s="4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5">
      <c r="A17" s="1"/>
      <c r="B17" s="30" t="s">
        <v>17</v>
      </c>
      <c r="C17" s="31"/>
      <c r="D17" s="31"/>
      <c r="E17" s="31"/>
      <c r="F17" s="28"/>
      <c r="G17" s="30" t="str">
        <f t="shared" si="1"/>
        <v/>
      </c>
      <c r="H17" s="4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A18" s="1"/>
      <c r="B18" s="30" t="s">
        <v>18</v>
      </c>
      <c r="C18" s="31"/>
      <c r="D18" s="31"/>
      <c r="E18" s="31"/>
      <c r="F18" s="28"/>
      <c r="G18" s="30" t="str">
        <f t="shared" si="1"/>
        <v/>
      </c>
      <c r="H18" s="4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A19" s="1"/>
      <c r="B19" s="30" t="s">
        <v>19</v>
      </c>
      <c r="C19" s="31"/>
      <c r="D19" s="31"/>
      <c r="E19" s="31"/>
      <c r="F19" s="28"/>
      <c r="G19" s="30" t="str">
        <f t="shared" si="1"/>
        <v/>
      </c>
      <c r="H19" s="4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A20" s="1"/>
      <c r="B20" s="30" t="s">
        <v>20</v>
      </c>
      <c r="C20" s="31"/>
      <c r="D20" s="31"/>
      <c r="E20" s="31"/>
      <c r="F20" s="28"/>
      <c r="G20" s="30" t="str">
        <f t="shared" si="1"/>
        <v/>
      </c>
      <c r="H20" s="4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1"/>
      <c r="B21" s="30" t="s">
        <v>21</v>
      </c>
      <c r="C21" s="31"/>
      <c r="D21" s="31"/>
      <c r="E21" s="47"/>
      <c r="F21" s="28"/>
      <c r="G21" s="28"/>
      <c r="H21" s="4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A22" s="1"/>
      <c r="B22" s="30" t="s">
        <v>22</v>
      </c>
      <c r="C22" s="31"/>
      <c r="D22" s="31"/>
      <c r="E22" s="31"/>
      <c r="F22" s="28"/>
      <c r="G22" s="28"/>
      <c r="H22" s="4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A23" s="1"/>
      <c r="B23" s="30" t="s">
        <v>23</v>
      </c>
      <c r="C23" s="31"/>
      <c r="D23" s="31"/>
      <c r="E23" s="31"/>
      <c r="F23" s="28"/>
      <c r="G23" s="30" t="str">
        <f t="shared" ref="G23:G28" si="2">IF(C23&lt;&gt;"",SUM(F23:F23),"")</f>
        <v/>
      </c>
      <c r="H23" s="4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A24" s="1"/>
      <c r="B24" s="30" t="s">
        <v>29</v>
      </c>
      <c r="C24" s="31"/>
      <c r="D24" s="31"/>
      <c r="E24" s="31"/>
      <c r="F24" s="28"/>
      <c r="G24" s="30" t="str">
        <f t="shared" si="2"/>
        <v/>
      </c>
      <c r="H24" s="4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30" t="s">
        <v>30</v>
      </c>
      <c r="C25" s="31"/>
      <c r="D25" s="31"/>
      <c r="E25" s="31"/>
      <c r="F25" s="28"/>
      <c r="G25" s="30" t="str">
        <f t="shared" si="2"/>
        <v/>
      </c>
      <c r="H25" s="4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30" t="s">
        <v>31</v>
      </c>
      <c r="C26" s="31"/>
      <c r="D26" s="31"/>
      <c r="E26" s="31"/>
      <c r="F26" s="28"/>
      <c r="G26" s="30" t="str">
        <f t="shared" si="2"/>
        <v/>
      </c>
      <c r="H26" s="4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30" t="s">
        <v>32</v>
      </c>
      <c r="C27" s="31"/>
      <c r="D27" s="31"/>
      <c r="E27" s="31"/>
      <c r="F27" s="28"/>
      <c r="G27" s="30" t="str">
        <f t="shared" si="2"/>
        <v/>
      </c>
      <c r="H27" s="4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A28" s="1"/>
      <c r="B28" s="30" t="s">
        <v>33</v>
      </c>
      <c r="C28" s="31"/>
      <c r="D28" s="31"/>
      <c r="E28" s="31"/>
      <c r="F28" s="28"/>
      <c r="G28" s="30" t="str">
        <f t="shared" si="2"/>
        <v/>
      </c>
      <c r="H28" s="4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5">
      <c r="A29" s="1"/>
      <c r="B29" s="34" t="s">
        <v>6</v>
      </c>
      <c r="C29" s="35"/>
      <c r="D29" s="35"/>
      <c r="E29" s="35"/>
      <c r="F29" s="36">
        <f>SUM(F9:F28)</f>
        <v>7600</v>
      </c>
      <c r="G29" s="36">
        <f>SUM(G9:G28)</f>
        <v>10620</v>
      </c>
      <c r="H29" s="3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A30" s="1"/>
      <c r="B30" s="29"/>
      <c r="C30" s="37"/>
      <c r="D30" s="37"/>
      <c r="E30" s="37"/>
      <c r="F30" s="37"/>
      <c r="G30" s="27"/>
      <c r="H30" s="27"/>
      <c r="I30" s="27"/>
      <c r="J30" s="1"/>
    </row>
    <row r="31" spans="1:22" x14ac:dyDescent="0.35">
      <c r="A31" s="1"/>
      <c r="B31" s="29"/>
      <c r="C31" s="37"/>
      <c r="D31" s="37"/>
      <c r="E31" s="37"/>
      <c r="F31" s="37"/>
      <c r="G31" s="27"/>
      <c r="H31" s="27"/>
      <c r="I31" s="27"/>
      <c r="J31" s="1"/>
    </row>
    <row r="32" spans="1:22" x14ac:dyDescent="0.35">
      <c r="A32" s="1"/>
      <c r="B32" s="29"/>
      <c r="C32" s="37"/>
      <c r="D32" s="37"/>
      <c r="E32" s="37"/>
      <c r="F32" s="37"/>
      <c r="G32" s="27"/>
      <c r="H32" s="27"/>
      <c r="I32" s="27"/>
      <c r="J32" s="1"/>
    </row>
    <row r="33" spans="1:10" x14ac:dyDescent="0.35">
      <c r="A33" s="1"/>
      <c r="B33" s="29"/>
      <c r="C33" s="37"/>
      <c r="D33" s="37"/>
      <c r="E33" s="50"/>
      <c r="F33" s="50"/>
      <c r="G33" s="51"/>
      <c r="H33" s="27"/>
      <c r="I33" s="27"/>
      <c r="J33" s="1"/>
    </row>
    <row r="34" spans="1:10" x14ac:dyDescent="0.35">
      <c r="A34" s="1"/>
      <c r="B34" s="29"/>
      <c r="C34" s="37"/>
      <c r="D34" s="37"/>
      <c r="E34" s="50"/>
      <c r="F34" s="50"/>
      <c r="G34" s="51"/>
      <c r="H34" s="27"/>
      <c r="I34" s="27"/>
      <c r="J34" s="1"/>
    </row>
    <row r="35" spans="1:10" x14ac:dyDescent="0.35">
      <c r="A35" s="1"/>
      <c r="B35" s="29"/>
      <c r="C35" s="37"/>
      <c r="D35" s="37"/>
      <c r="E35" s="50"/>
      <c r="F35" s="50"/>
      <c r="G35" s="51"/>
      <c r="H35" s="27"/>
      <c r="I35" s="27"/>
      <c r="J35" s="1"/>
    </row>
    <row r="36" spans="1:10" x14ac:dyDescent="0.35">
      <c r="A36" s="1"/>
      <c r="B36" s="29"/>
      <c r="C36" s="37"/>
      <c r="D36" s="37"/>
      <c r="E36" s="50"/>
      <c r="F36" s="50"/>
      <c r="G36" s="51"/>
      <c r="H36" s="27"/>
      <c r="I36" s="27"/>
      <c r="J36" s="1"/>
    </row>
    <row r="37" spans="1:10" x14ac:dyDescent="0.35">
      <c r="A37" s="1"/>
      <c r="B37" s="29"/>
      <c r="C37" s="37"/>
      <c r="D37" s="37"/>
      <c r="E37" s="50"/>
      <c r="F37" s="50"/>
      <c r="G37" s="51"/>
      <c r="H37" s="27"/>
      <c r="I37" s="27"/>
      <c r="J37" s="1"/>
    </row>
    <row r="38" spans="1:10" x14ac:dyDescent="0.35">
      <c r="A38" s="1"/>
      <c r="B38" s="29"/>
      <c r="C38" s="37"/>
      <c r="D38" s="37"/>
      <c r="E38" s="37"/>
      <c r="F38" s="37"/>
      <c r="G38" s="27"/>
      <c r="H38" s="27"/>
      <c r="I38" s="27"/>
      <c r="J38" s="1"/>
    </row>
    <row r="39" spans="1:10" x14ac:dyDescent="0.35">
      <c r="A39" s="1"/>
      <c r="B39" s="29"/>
      <c r="C39" s="37"/>
      <c r="D39" s="37"/>
      <c r="E39" s="37"/>
      <c r="F39" s="37"/>
      <c r="G39" s="27"/>
      <c r="H39" s="27"/>
      <c r="I39" s="27"/>
      <c r="J39" s="1"/>
    </row>
    <row r="40" spans="1:10" x14ac:dyDescent="0.35">
      <c r="A40" s="1"/>
      <c r="B40" s="29"/>
      <c r="C40" s="37"/>
      <c r="D40" s="37"/>
      <c r="E40" s="37"/>
      <c r="F40" s="37"/>
      <c r="G40" s="27"/>
      <c r="H40" s="27"/>
      <c r="I40" s="27"/>
      <c r="J40" s="1"/>
    </row>
    <row r="41" spans="1:10" x14ac:dyDescent="0.35">
      <c r="A41" s="1"/>
      <c r="B41" s="29"/>
      <c r="C41" s="37"/>
      <c r="D41" s="37"/>
      <c r="E41" s="37"/>
      <c r="F41" s="37"/>
      <c r="G41" s="27"/>
      <c r="H41" s="27"/>
      <c r="I41" s="27"/>
      <c r="J41" s="1"/>
    </row>
    <row r="42" spans="1:10" x14ac:dyDescent="0.35">
      <c r="A42" s="1"/>
      <c r="B42" s="29"/>
      <c r="C42" s="37"/>
      <c r="D42" s="37"/>
      <c r="E42" s="37"/>
      <c r="F42" s="37"/>
      <c r="G42" s="27"/>
      <c r="H42" s="27"/>
      <c r="I42" s="27"/>
      <c r="J42" s="1"/>
    </row>
    <row r="43" spans="1:10" x14ac:dyDescent="0.35">
      <c r="A43" s="1"/>
      <c r="B43" s="29"/>
      <c r="C43" s="37"/>
      <c r="D43" s="37"/>
      <c r="E43" s="37"/>
      <c r="F43" s="37"/>
      <c r="G43" s="27"/>
      <c r="H43" s="27"/>
      <c r="I43" s="27"/>
      <c r="J43" s="1"/>
    </row>
    <row r="44" spans="1:10" x14ac:dyDescent="0.35">
      <c r="A44" s="1"/>
      <c r="B44" s="29"/>
      <c r="C44" s="37"/>
      <c r="D44" s="37"/>
      <c r="E44" s="37"/>
      <c r="F44" s="37"/>
      <c r="G44" s="27"/>
      <c r="H44" s="27"/>
      <c r="I44" s="27"/>
      <c r="J44" s="1"/>
    </row>
    <row r="45" spans="1:10" x14ac:dyDescent="0.35">
      <c r="A45" s="1"/>
      <c r="B45" s="29"/>
      <c r="C45" s="37"/>
      <c r="D45" s="37"/>
      <c r="E45" s="37"/>
      <c r="F45" s="37"/>
      <c r="G45" s="27"/>
      <c r="H45" s="27"/>
      <c r="I45" s="27"/>
      <c r="J45" s="1"/>
    </row>
    <row r="46" spans="1:10" x14ac:dyDescent="0.35">
      <c r="A46" s="1"/>
      <c r="B46" s="29"/>
      <c r="C46" s="37"/>
      <c r="D46" s="37"/>
      <c r="E46" s="37"/>
      <c r="F46" s="37"/>
      <c r="G46" s="27"/>
      <c r="H46" s="27"/>
      <c r="I46" s="27"/>
      <c r="J46" s="1"/>
    </row>
    <row r="47" spans="1:10" x14ac:dyDescent="0.35">
      <c r="A47" s="1"/>
      <c r="B47" s="29"/>
      <c r="C47" s="37"/>
      <c r="D47" s="37"/>
      <c r="E47" s="37"/>
      <c r="F47" s="37"/>
      <c r="G47" s="27"/>
      <c r="H47" s="27"/>
      <c r="I47" s="27"/>
      <c r="J47" s="1"/>
    </row>
    <row r="48" spans="1:10" x14ac:dyDescent="0.35">
      <c r="A48" s="1"/>
      <c r="B48" s="29"/>
      <c r="C48" s="37"/>
      <c r="D48" s="37"/>
      <c r="E48" s="37"/>
      <c r="F48" s="37"/>
      <c r="G48" s="27"/>
      <c r="H48" s="27"/>
      <c r="I48" s="27"/>
      <c r="J48" s="1"/>
    </row>
    <row r="49" spans="1:10" x14ac:dyDescent="0.35">
      <c r="A49" s="1"/>
      <c r="B49" s="29"/>
      <c r="C49" s="37"/>
      <c r="D49" s="37"/>
      <c r="E49" s="37"/>
      <c r="F49" s="37"/>
      <c r="G49" s="27"/>
      <c r="H49" s="27"/>
      <c r="I49" s="27"/>
      <c r="J49" s="1"/>
    </row>
    <row r="50" spans="1:10" x14ac:dyDescent="0.35">
      <c r="A50" s="1"/>
      <c r="B50" s="29"/>
      <c r="C50" s="37"/>
      <c r="D50" s="37"/>
      <c r="E50" s="37"/>
      <c r="F50" s="37"/>
      <c r="G50" s="27"/>
      <c r="H50" s="27"/>
      <c r="I50" s="27"/>
      <c r="J50" s="1"/>
    </row>
    <row r="51" spans="1:10" x14ac:dyDescent="0.35">
      <c r="A51" s="1"/>
      <c r="B51" s="29"/>
      <c r="C51" s="37"/>
      <c r="D51" s="37"/>
      <c r="E51" s="37"/>
      <c r="F51" s="37"/>
      <c r="G51" s="27"/>
      <c r="H51" s="27"/>
      <c r="I51" s="27"/>
      <c r="J51" s="1"/>
    </row>
    <row r="52" spans="1:10" x14ac:dyDescent="0.35">
      <c r="A52" s="1"/>
      <c r="B52" s="29"/>
      <c r="C52" s="37"/>
      <c r="D52" s="37"/>
      <c r="E52" s="37"/>
      <c r="F52" s="37"/>
      <c r="G52" s="27"/>
      <c r="H52" s="27"/>
      <c r="I52" s="27"/>
      <c r="J52" s="1"/>
    </row>
    <row r="53" spans="1:10" x14ac:dyDescent="0.35">
      <c r="A53" s="1"/>
      <c r="B53" s="29"/>
      <c r="C53" s="37"/>
      <c r="D53" s="37"/>
      <c r="E53" s="37"/>
      <c r="F53" s="37"/>
      <c r="G53" s="27"/>
      <c r="H53" s="27"/>
      <c r="I53" s="27"/>
      <c r="J53" s="1"/>
    </row>
    <row r="54" spans="1:10" x14ac:dyDescent="0.35">
      <c r="A54" s="1"/>
      <c r="B54" s="29"/>
      <c r="C54" s="37"/>
      <c r="D54" s="37"/>
      <c r="E54" s="37"/>
      <c r="F54" s="37"/>
      <c r="G54" s="27"/>
      <c r="H54" s="27"/>
      <c r="I54" s="27"/>
      <c r="J54" s="1"/>
    </row>
    <row r="55" spans="1:10" x14ac:dyDescent="0.35">
      <c r="A55" s="1"/>
      <c r="B55" s="29"/>
      <c r="C55" s="37"/>
      <c r="D55" s="37"/>
      <c r="E55" s="37"/>
      <c r="F55" s="37"/>
      <c r="G55" s="27"/>
      <c r="H55" s="27"/>
      <c r="I55" s="27"/>
      <c r="J55" s="1"/>
    </row>
    <row r="56" spans="1:10" x14ac:dyDescent="0.35">
      <c r="A56" s="1"/>
      <c r="B56" s="29"/>
      <c r="C56" s="37"/>
      <c r="D56" s="37"/>
      <c r="E56" s="37"/>
      <c r="F56" s="37"/>
      <c r="G56" s="27"/>
      <c r="H56" s="27"/>
      <c r="I56" s="27"/>
      <c r="J56" s="1"/>
    </row>
    <row r="57" spans="1:10" x14ac:dyDescent="0.35">
      <c r="A57" s="1"/>
      <c r="B57" s="29"/>
      <c r="C57" s="37"/>
      <c r="D57" s="37"/>
      <c r="E57" s="37"/>
      <c r="F57" s="37"/>
      <c r="G57" s="27"/>
      <c r="H57" s="27"/>
      <c r="I57" s="27"/>
      <c r="J57" s="1"/>
    </row>
    <row r="58" spans="1:10" x14ac:dyDescent="0.35">
      <c r="A58" s="1"/>
      <c r="B58" s="29"/>
      <c r="C58" s="37"/>
      <c r="D58" s="37"/>
      <c r="E58" s="37"/>
      <c r="F58" s="37"/>
      <c r="G58" s="27"/>
      <c r="H58" s="27"/>
      <c r="I58" s="27"/>
      <c r="J58" s="1"/>
    </row>
    <row r="59" spans="1:10" x14ac:dyDescent="0.35">
      <c r="A59" s="1"/>
      <c r="B59" s="29"/>
      <c r="C59" s="37"/>
      <c r="D59" s="37"/>
      <c r="E59" s="37"/>
      <c r="F59" s="37"/>
      <c r="G59" s="27"/>
      <c r="H59" s="27"/>
      <c r="I59" s="27"/>
      <c r="J59" s="1"/>
    </row>
    <row r="60" spans="1:10" x14ac:dyDescent="0.35">
      <c r="A60" s="1"/>
      <c r="B60" s="29"/>
      <c r="C60" s="37"/>
      <c r="D60" s="37"/>
      <c r="E60" s="37"/>
      <c r="F60" s="37"/>
      <c r="G60" s="27"/>
      <c r="H60" s="27"/>
      <c r="I60" s="27"/>
      <c r="J60" s="1"/>
    </row>
    <row r="61" spans="1:10" x14ac:dyDescent="0.35">
      <c r="A61" s="1"/>
      <c r="B61" s="29"/>
      <c r="C61" s="37"/>
      <c r="D61" s="37"/>
      <c r="E61" s="37"/>
      <c r="F61" s="37"/>
      <c r="G61" s="27"/>
      <c r="H61" s="27"/>
      <c r="I61" s="27"/>
      <c r="J61" s="1"/>
    </row>
    <row r="62" spans="1:10" x14ac:dyDescent="0.35">
      <c r="A62" s="1"/>
      <c r="B62" s="29"/>
      <c r="C62" s="37"/>
      <c r="D62" s="37"/>
      <c r="E62" s="37"/>
      <c r="F62" s="37"/>
      <c r="G62" s="27"/>
      <c r="H62" s="27"/>
      <c r="I62" s="27"/>
      <c r="J62" s="1"/>
    </row>
    <row r="63" spans="1:10" x14ac:dyDescent="0.35">
      <c r="A63" s="1"/>
      <c r="B63" s="29"/>
      <c r="C63" s="37"/>
      <c r="D63" s="37"/>
      <c r="E63" s="37"/>
      <c r="F63" s="37"/>
      <c r="G63" s="27"/>
      <c r="H63" s="27"/>
      <c r="I63" s="27"/>
      <c r="J63" s="1"/>
    </row>
    <row r="64" spans="1:10" x14ac:dyDescent="0.35">
      <c r="A64" s="1"/>
      <c r="B64" s="29"/>
      <c r="C64" s="37"/>
      <c r="D64" s="37"/>
      <c r="E64" s="37"/>
      <c r="F64" s="37"/>
      <c r="G64" s="27"/>
      <c r="H64" s="27"/>
      <c r="I64" s="27"/>
      <c r="J64" s="1"/>
    </row>
    <row r="65" spans="1:10" x14ac:dyDescent="0.35">
      <c r="A65" s="1"/>
      <c r="B65" s="29"/>
      <c r="C65" s="37"/>
      <c r="D65" s="37"/>
      <c r="E65" s="37"/>
      <c r="F65" s="37"/>
      <c r="G65" s="27"/>
      <c r="H65" s="27"/>
      <c r="I65" s="27"/>
      <c r="J65" s="1"/>
    </row>
    <row r="66" spans="1:10" x14ac:dyDescent="0.35">
      <c r="A66" s="1"/>
      <c r="B66" s="29"/>
      <c r="C66" s="37"/>
      <c r="D66" s="37"/>
      <c r="E66" s="37"/>
      <c r="F66" s="37"/>
      <c r="G66" s="27"/>
      <c r="H66" s="27"/>
      <c r="I66" s="27"/>
      <c r="J66" s="1"/>
    </row>
    <row r="67" spans="1:10" x14ac:dyDescent="0.35">
      <c r="A67" s="1"/>
      <c r="B67" s="29"/>
      <c r="C67" s="37"/>
      <c r="D67" s="37"/>
      <c r="E67" s="37"/>
      <c r="F67" s="37"/>
      <c r="G67" s="27"/>
      <c r="H67" s="27"/>
      <c r="I67" s="27"/>
      <c r="J67" s="1"/>
    </row>
    <row r="68" spans="1:10" x14ac:dyDescent="0.35">
      <c r="A68" s="1"/>
      <c r="B68" s="29"/>
      <c r="C68" s="37"/>
      <c r="D68" s="37"/>
      <c r="E68" s="37"/>
      <c r="F68" s="37"/>
      <c r="G68" s="27"/>
      <c r="H68" s="27"/>
      <c r="I68" s="27"/>
      <c r="J68" s="1"/>
    </row>
    <row r="69" spans="1:10" x14ac:dyDescent="0.35">
      <c r="A69" s="1"/>
      <c r="B69" s="29"/>
      <c r="C69" s="37"/>
      <c r="D69" s="37"/>
      <c r="E69" s="37"/>
      <c r="F69" s="37"/>
      <c r="G69" s="27"/>
      <c r="H69" s="27"/>
      <c r="I69" s="27"/>
      <c r="J69" s="1"/>
    </row>
    <row r="70" spans="1:10" x14ac:dyDescent="0.35">
      <c r="A70" s="1"/>
      <c r="B70" s="29"/>
      <c r="C70" s="37"/>
      <c r="D70" s="37"/>
      <c r="E70" s="37"/>
      <c r="F70" s="37"/>
      <c r="G70" s="27"/>
      <c r="H70" s="27"/>
      <c r="I70" s="27"/>
      <c r="J70" s="1"/>
    </row>
    <row r="71" spans="1:10" x14ac:dyDescent="0.35">
      <c r="A71" s="1"/>
      <c r="B71" s="29"/>
      <c r="C71" s="37"/>
      <c r="D71" s="37"/>
      <c r="E71" s="37"/>
      <c r="F71" s="37"/>
      <c r="G71" s="27"/>
      <c r="H71" s="27"/>
      <c r="I71" s="27"/>
      <c r="J71" s="1"/>
    </row>
    <row r="72" spans="1:10" x14ac:dyDescent="0.35">
      <c r="A72" s="1"/>
      <c r="B72" s="29"/>
      <c r="C72" s="37"/>
      <c r="D72" s="37"/>
      <c r="E72" s="37"/>
      <c r="F72" s="37"/>
      <c r="G72" s="27"/>
      <c r="H72" s="27"/>
      <c r="I72" s="27"/>
      <c r="J72" s="1"/>
    </row>
    <row r="73" spans="1:10" x14ac:dyDescent="0.35">
      <c r="A73" s="1"/>
      <c r="B73" s="29"/>
      <c r="C73" s="37"/>
      <c r="D73" s="37"/>
      <c r="E73" s="37"/>
      <c r="F73" s="37"/>
      <c r="G73" s="27"/>
      <c r="H73" s="27"/>
      <c r="I73" s="27"/>
      <c r="J73" s="1"/>
    </row>
    <row r="74" spans="1:10" x14ac:dyDescent="0.35">
      <c r="A74" s="1"/>
      <c r="B74" s="29"/>
      <c r="C74" s="37"/>
      <c r="D74" s="37"/>
      <c r="E74" s="37"/>
      <c r="F74" s="37"/>
      <c r="G74" s="27"/>
      <c r="H74" s="27"/>
      <c r="I74" s="27"/>
      <c r="J74" s="1"/>
    </row>
    <row r="75" spans="1:10" x14ac:dyDescent="0.35">
      <c r="A75" s="1"/>
      <c r="B75" s="29"/>
      <c r="C75" s="37"/>
      <c r="D75" s="37"/>
      <c r="E75" s="37"/>
      <c r="F75" s="37"/>
      <c r="G75" s="27"/>
      <c r="H75" s="27"/>
      <c r="I75" s="27"/>
      <c r="J75" s="1"/>
    </row>
    <row r="76" spans="1:10" x14ac:dyDescent="0.35">
      <c r="A76" s="1"/>
      <c r="B76" s="29"/>
      <c r="C76" s="37"/>
      <c r="D76" s="37"/>
      <c r="E76" s="37"/>
      <c r="F76" s="37"/>
      <c r="G76" s="27"/>
      <c r="H76" s="27"/>
      <c r="I76" s="27"/>
      <c r="J76" s="1"/>
    </row>
    <row r="77" spans="1:10" x14ac:dyDescent="0.35">
      <c r="A77" s="1"/>
      <c r="B77" s="29"/>
      <c r="C77" s="37"/>
      <c r="D77" s="37"/>
      <c r="E77" s="37"/>
      <c r="F77" s="37"/>
      <c r="G77" s="27"/>
      <c r="H77" s="27"/>
      <c r="I77" s="27"/>
      <c r="J77" s="1"/>
    </row>
    <row r="78" spans="1:10" x14ac:dyDescent="0.35">
      <c r="A78" s="1"/>
      <c r="B78" s="29"/>
      <c r="C78" s="37"/>
      <c r="D78" s="37"/>
      <c r="E78" s="37"/>
      <c r="F78" s="37"/>
      <c r="G78" s="27"/>
      <c r="H78" s="27"/>
      <c r="I78" s="27"/>
      <c r="J78" s="1"/>
    </row>
    <row r="79" spans="1:10" x14ac:dyDescent="0.35">
      <c r="A79" s="1"/>
      <c r="B79" s="29"/>
      <c r="C79" s="37"/>
      <c r="D79" s="37"/>
      <c r="E79" s="37"/>
      <c r="F79" s="37"/>
      <c r="G79" s="27"/>
      <c r="H79" s="27"/>
      <c r="I79" s="27"/>
      <c r="J79" s="1"/>
    </row>
    <row r="80" spans="1:10" x14ac:dyDescent="0.35">
      <c r="A80" s="1"/>
      <c r="B80" s="29"/>
      <c r="C80" s="37"/>
      <c r="D80" s="37"/>
      <c r="E80" s="37"/>
      <c r="F80" s="37"/>
      <c r="G80" s="27"/>
      <c r="H80" s="27"/>
      <c r="I80" s="27"/>
      <c r="J80" s="1"/>
    </row>
    <row r="81" spans="1:23" x14ac:dyDescent="0.35">
      <c r="A81" s="1"/>
      <c r="B81" s="29"/>
      <c r="C81" s="37"/>
      <c r="D81" s="37"/>
      <c r="E81" s="37"/>
      <c r="F81" s="37"/>
      <c r="G81" s="27"/>
      <c r="H81" s="27"/>
      <c r="I81" s="27"/>
      <c r="J81" s="1"/>
    </row>
    <row r="82" spans="1:23" x14ac:dyDescent="0.35">
      <c r="A82" s="1"/>
      <c r="B82" s="29"/>
      <c r="C82" s="37"/>
      <c r="D82" s="37"/>
      <c r="E82" s="37"/>
      <c r="F82" s="37"/>
      <c r="G82" s="27"/>
      <c r="H82" s="27"/>
      <c r="I82" s="27"/>
      <c r="J82" s="1"/>
    </row>
    <row r="83" spans="1:23" x14ac:dyDescent="0.35">
      <c r="A83" s="1"/>
      <c r="B83" s="29"/>
      <c r="C83" s="37"/>
      <c r="D83" s="37"/>
      <c r="E83" s="37"/>
      <c r="F83" s="37"/>
      <c r="G83" s="27"/>
      <c r="H83" s="27"/>
      <c r="I83" s="27"/>
      <c r="J83" s="1"/>
    </row>
    <row r="84" spans="1:23" x14ac:dyDescent="0.35">
      <c r="A84" s="1"/>
      <c r="B84" s="29"/>
      <c r="C84" s="37"/>
      <c r="D84" s="37"/>
      <c r="E84" s="37"/>
      <c r="F84" s="37"/>
      <c r="G84" s="27"/>
      <c r="H84" s="27"/>
      <c r="I84" s="27"/>
      <c r="J84" s="1"/>
    </row>
    <row r="85" spans="1:23" x14ac:dyDescent="0.35">
      <c r="A85" s="1"/>
      <c r="B85" s="29"/>
      <c r="C85" s="37"/>
      <c r="D85" s="37"/>
      <c r="E85" s="37"/>
      <c r="F85" s="37"/>
      <c r="G85" s="27"/>
      <c r="H85" s="27"/>
      <c r="I85" s="27"/>
      <c r="J85" s="1"/>
    </row>
    <row r="86" spans="1:23" x14ac:dyDescent="0.35">
      <c r="A86" s="1"/>
      <c r="B86" s="29"/>
      <c r="C86" s="37"/>
      <c r="D86" s="37"/>
      <c r="E86" s="37"/>
      <c r="F86" s="37"/>
      <c r="G86" s="27"/>
      <c r="H86" s="27"/>
      <c r="I86" s="27"/>
      <c r="J86" s="1"/>
    </row>
    <row r="87" spans="1:23" x14ac:dyDescent="0.35">
      <c r="A87" s="1"/>
      <c r="B87" s="29"/>
      <c r="C87" s="37"/>
      <c r="D87" s="37"/>
      <c r="E87" s="37"/>
      <c r="F87" s="37"/>
      <c r="G87" s="27"/>
      <c r="H87" s="27"/>
      <c r="I87" s="27"/>
      <c r="J87" s="1"/>
    </row>
    <row r="88" spans="1:23" x14ac:dyDescent="0.35">
      <c r="A88" s="1"/>
      <c r="B88" s="29"/>
      <c r="C88" s="37"/>
      <c r="D88" s="37"/>
      <c r="E88" s="37"/>
      <c r="F88" s="37"/>
      <c r="G88" s="27"/>
      <c r="H88" s="27"/>
      <c r="I88" s="27"/>
      <c r="J88" s="1"/>
    </row>
    <row r="89" spans="1:23" x14ac:dyDescent="0.35">
      <c r="A89" s="1"/>
      <c r="B89" s="6"/>
      <c r="C89" s="37"/>
      <c r="D89" s="37"/>
      <c r="E89" s="37"/>
      <c r="F89" s="37"/>
      <c r="G89" s="27"/>
      <c r="H89" s="27"/>
      <c r="I89" s="27"/>
      <c r="J89" s="1"/>
    </row>
    <row r="90" spans="1:23" x14ac:dyDescent="0.35">
      <c r="A90" s="1"/>
      <c r="B90" s="1"/>
      <c r="C90" s="37"/>
      <c r="D90" s="37"/>
      <c r="E90" s="37"/>
      <c r="F90" s="37"/>
      <c r="G90" s="27"/>
      <c r="H90" s="27"/>
      <c r="I90" s="27"/>
      <c r="J90" s="1"/>
    </row>
    <row r="91" spans="1:23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7"/>
      <c r="W91" s="1"/>
    </row>
    <row r="92" spans="1:23" x14ac:dyDescent="0.35">
      <c r="V92" s="27"/>
    </row>
    <row r="93" spans="1:23" x14ac:dyDescent="0.35">
      <c r="V93" s="27"/>
    </row>
    <row r="94" spans="1:23" x14ac:dyDescent="0.35">
      <c r="V94" s="1"/>
    </row>
    <row r="95" spans="1:23" x14ac:dyDescent="0.35">
      <c r="V95" s="1"/>
    </row>
    <row r="96" spans="1:23" x14ac:dyDescent="0.35">
      <c r="V96" s="1"/>
    </row>
  </sheetData>
  <dataConsolidate/>
  <mergeCells count="1">
    <mergeCell ref="E6:F6"/>
  </mergeCells>
  <phoneticPr fontId="10" type="noConversion"/>
  <pageMargins left="0.70866141732283472" right="0.70866141732283472" top="0.74803149606299213" bottom="0.74803149606299213" header="0.31496062992125984" footer="0.31496062992125984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Horas comprometidas activdad</vt:lpstr>
      <vt:lpstr>Horas comprometidas profesional</vt:lpstr>
      <vt:lpstr>'Horas comprometidas activdad'!Área_de_impresión</vt:lpstr>
      <vt:lpstr>'Horas comprometidas profesional'!Área_de_impresión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Calle Vásquez (DGA)</dc:creator>
  <cp:lastModifiedBy>j</cp:lastModifiedBy>
  <cp:lastPrinted>2017-06-22T13:01:34Z</cp:lastPrinted>
  <dcterms:created xsi:type="dcterms:W3CDTF">2017-03-09T11:41:01Z</dcterms:created>
  <dcterms:modified xsi:type="dcterms:W3CDTF">2025-08-20T13:12:25Z</dcterms:modified>
</cp:coreProperties>
</file>